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7" rupBuild="4505" codeName="{37E998C4-C9E5-D4B9-71C8-EB1FF731991C}"/>
  <workbookPr codeName="ThisWorkbook1" hidePivotFieldList="1"/>
  <bookViews>
    <workbookView xWindow="-105" yWindow="-105" windowWidth="20730" windowHeight="11760" tabRatio="849" activeTab="1"/>
  </bookViews>
  <sheets>
    <sheet name="Instructions" sheetId="22" r:id="rId1"/>
    <sheet name="Dataset" sheetId="1" r:id="rId2"/>
    <sheet name="Task_1" sheetId="15" r:id="rId3"/>
    <sheet name="Task_2" sheetId="18" r:id="rId4"/>
    <sheet name="Task_3" sheetId="16" r:id="rId5"/>
    <sheet name="Task_4" sheetId="19" r:id="rId6"/>
    <sheet name="Task_5" sheetId="20" r:id="rId7"/>
  </sheets>
  <functionGroups/>
  <definedNames>
    <definedName name="_xlnm._FilterDatabase" localSheetId="1" hidden="1">Dataset!$A$1:$X$40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24519"/>
  <fileRecoveryPr repairLoad="1"/>
</workbook>
</file>

<file path=xl/calcChain.xml><?xml version="1.0" encoding="utf-8"?>
<calcChain xmlns="http://schemas.openxmlformats.org/spreadsheetml/2006/main">
  <c r="C23" i="20"/>
  <c r="C24"/>
  <c r="C25"/>
  <c r="C26"/>
  <c r="C27"/>
  <c r="C28"/>
  <c r="C29"/>
  <c r="C30"/>
  <c r="C31"/>
  <c r="C32"/>
  <c r="C33"/>
  <c r="C34"/>
  <c r="C35"/>
  <c r="C22" i="19"/>
  <c r="F7" i="18"/>
  <c r="F8"/>
  <c r="F9"/>
  <c r="F10"/>
  <c r="F11"/>
  <c r="F12"/>
  <c r="F13"/>
  <c r="F14"/>
  <c r="F15"/>
  <c r="F16"/>
  <c r="F17"/>
  <c r="F18"/>
  <c r="F19"/>
  <c r="F20"/>
  <c r="F21"/>
  <c r="F22"/>
  <c r="F23"/>
  <c r="F24"/>
  <c r="F25"/>
  <c r="F26"/>
  <c r="F27"/>
  <c r="F6"/>
  <c r="E7"/>
  <c r="E8"/>
  <c r="E9"/>
  <c r="E10"/>
  <c r="E11"/>
  <c r="E12"/>
  <c r="E13"/>
  <c r="E14"/>
  <c r="E15"/>
  <c r="E16"/>
  <c r="E17"/>
  <c r="E18"/>
  <c r="E19"/>
  <c r="E20"/>
  <c r="E21"/>
  <c r="E22"/>
  <c r="E23"/>
  <c r="E24"/>
  <c r="E25"/>
  <c r="E26"/>
  <c r="E27"/>
  <c r="E6"/>
  <c r="D7"/>
  <c r="D8"/>
  <c r="D9"/>
  <c r="D10"/>
  <c r="D11"/>
  <c r="D12"/>
  <c r="D13"/>
  <c r="D14"/>
  <c r="D15"/>
  <c r="D16"/>
  <c r="D17"/>
  <c r="D18"/>
  <c r="D19"/>
  <c r="D20"/>
  <c r="D21"/>
  <c r="D22"/>
  <c r="D23"/>
  <c r="D24"/>
  <c r="D25"/>
  <c r="D26"/>
  <c r="D27"/>
  <c r="D6"/>
  <c r="C7"/>
  <c r="C8"/>
  <c r="C9"/>
  <c r="C10"/>
  <c r="C11"/>
  <c r="C12"/>
  <c r="C13"/>
  <c r="C14"/>
  <c r="C15"/>
  <c r="C16"/>
  <c r="C17"/>
  <c r="C18"/>
  <c r="C19"/>
  <c r="C20"/>
  <c r="C21"/>
  <c r="C22"/>
  <c r="C23"/>
  <c r="C24"/>
  <c r="C25"/>
  <c r="C26"/>
  <c r="C27"/>
  <c r="C6"/>
  <c r="B7"/>
  <c r="B8"/>
  <c r="B9"/>
  <c r="B10"/>
  <c r="B11"/>
  <c r="B12"/>
  <c r="B13"/>
  <c r="B14"/>
  <c r="B15"/>
  <c r="B16"/>
  <c r="B17"/>
  <c r="B18"/>
  <c r="B19"/>
  <c r="B20"/>
  <c r="B21"/>
  <c r="B22"/>
  <c r="B23"/>
  <c r="B24"/>
  <c r="B25"/>
  <c r="B26"/>
  <c r="B27"/>
  <c r="B6"/>
  <c r="H41" i="1"/>
  <c r="C30" i="18" l="1"/>
  <c r="E29"/>
  <c r="B29"/>
  <c r="D28"/>
  <c r="F29"/>
  <c r="B28"/>
  <c r="C29"/>
  <c r="E28"/>
  <c r="F28"/>
  <c r="C28"/>
  <c r="D29"/>
  <c r="D30"/>
  <c r="B30"/>
  <c r="E30"/>
  <c r="F30"/>
</calcChain>
</file>

<file path=xl/sharedStrings.xml><?xml version="1.0" encoding="utf-8"?>
<sst xmlns="http://schemas.openxmlformats.org/spreadsheetml/2006/main" count="403" uniqueCount="180">
  <si>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</si>
  <si>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</si>
  <si>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</si>
  <si>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</si>
  <si>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</si>
  <si>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</si>
  <si>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</si>
  <si>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</si>
  <si>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</si>
  <si>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</si>
  <si>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</si>
  <si>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</si>
  <si>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</si>
  <si>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</si>
  <si>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</si>
  <si>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</si>
  <si>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</si>
  <si>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</si>
  <si>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</si>
  <si>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</si>
  <si>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</si>
  <si>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</si>
  <si>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</si>
  <si>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</si>
  <si>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</si>
  <si>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</si>
  <si>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</si>
  <si>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</si>
  <si>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</si>
  <si>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</si>
  <si>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</si>
  <si>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</si>
  <si>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</si>
  <si>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</si>
  <si>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</si>
  <si>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</si>
  <si>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</si>
  <si>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</si>
  <si>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</si>
  <si>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</si>
  <si>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</si>
  <si>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</si>
  <si>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</si>
  <si>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</si>
  <si>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</si>
  <si>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</si>
  <si>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</si>
  <si>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</si>
  <si>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</si>
  <si>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</si>
  <si>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</si>
  <si>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</si>
  <si>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</si>
  <si>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</si>
  <si>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</si>
  <si>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</si>
  <si>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</si>
  <si>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</si>
  <si>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</si>
  <si>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</si>
  <si>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</si>
  <si>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</si>
  <si>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</si>
  <si>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</si>
  <si>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</si>
  <si>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</si>
  <si>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</si>
  <si>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</si>
  <si>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</si>
  <si>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</si>
  <si>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</si>
  <si>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</si>
  <si>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</si>
  <si>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</si>
  <si>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</si>
  <si>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</si>
  <si>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</si>
  <si>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</si>
  <si>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</si>
  <si>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</si>
  <si>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</si>
  <si>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</si>
  <si>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</si>
  <si>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</si>
  <si>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</si>
  <si>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</si>
  <si>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</si>
  <si>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</si>
  <si>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</si>
  <si>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</si>
  <si>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</si>
  <si>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</si>
  <si>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</si>
  <si>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</si>
  <si>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</si>
  <si>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</si>
  <si>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</si>
  <si>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</si>
  <si>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</si>
  <si>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</si>
  <si>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</si>
  <si>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</si>
  <si>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</si>
  <si>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</si>
  <si>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</si>
  <si>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</si>
  <si>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</si>
  <si>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</si>
  <si>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</si>
  <si>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</si>
  <si>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</si>
  <si>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</si>
  <si>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</si>
  <si>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</si>
  <si>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</si>
  <si>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</si>
  <si>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</si>
  <si>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</si>
  <si>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</si>
  <si>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</si>
  <si>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</si>
  <si>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</si>
  <si>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</si>
  <si>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</si>
  <si>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</si>
  <si>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</si>
  <si>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</si>
  <si>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</si>
  <si>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</si>
  <si>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</si>
  <si>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</si>
  <si>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</si>
  <si>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</si>
  <si>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</si>
  <si>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</si>
  <si>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</si>
  <si>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</si>
  <si>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</si>
  <si>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</si>
  <si>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</si>
  <si>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</si>
  <si>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</si>
  <si>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</si>
  <si>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</si>
  <si>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</si>
  <si>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</si>
  <si>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</si>
  <si>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</si>
  <si>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</si>
  <si>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</si>
  <si>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</si>
  <si>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</si>
  <si>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</si>
  <si>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</si>
  <si>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</si>
  <si>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</si>
  <si>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</si>
  <si>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</si>
  <si>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</si>
  <si>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</si>
  <si>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</si>
  <si>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</si>
  <si>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</si>
  <si>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</si>
  <si>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</si>
  <si>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</si>
  <si>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</si>
  <si>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</si>
  <si>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</si>
  <si>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</si>
  <si>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</si>
  <si>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</si>
  <si>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</si>
  <si>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All 20 values must be substituted with the value '20'</t>
  </si>
  <si>
    <t xml:space="preserve">The VLOOKUP function in Excel is used to search for a value in the first column of a table range and return a value in the same row from another column. It's a powerful tool for looking up and retrieving data from large datasets. </t>
  </si>
  <si>
    <t>INDEX($A$9:J19,MATCH(VLOOKUP(A23,$M$10:$N$18,2),$A$9:$A$18,0),MATCH(VLOOKUP(B23,$M$10:$N$18,2),$A$9:$J$9,0))</t>
  </si>
  <si>
    <t xml:space="preserve">For replacing "#N/A" I have used Find and replace Built in Functions and then I applied formula =SUM(C12:C21) to add all values. </t>
  </si>
  <si>
    <t>The Find and Replace functions in Excel are useful for locating specific content within your spreadsheet and replacing it with new values. The SUM function is used to add up the values in a range of cells.</t>
  </si>
  <si>
    <t>In this I used Built-in function to split the text into columns with delimeter as"-".</t>
  </si>
  <si>
    <t>In Excel, a delimiter is a character or set of characters used to separate and distinguish items within a cell. Common delimiters include commas, tabs, semicolons, and spaces. Delimiters are often used in data imported or copied from other sources to separate values into different cells or columns.</t>
  </si>
</sst>
</file>

<file path=xl/styles.xml><?xml version="1.0" encoding="utf-8"?>
<styleSheet xmlns="http://schemas.openxmlformats.org/spreadsheetml/2006/main">
  <numFmts count="3">
    <numFmt numFmtId="164" formatCode="hh:mm:ss;@"/>
    <numFmt numFmtId="165" formatCode="yyyy\-mm\-dd;@"/>
    <numFmt numFmtId="166" formatCode="[$-14009]yyyy/mm/dd;@"/>
  </numFmts>
  <fonts count="17">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45">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4" fillId="0" borderId="0" xfId="0" applyFont="1"/>
    <xf numFmtId="0" fontId="15" fillId="0" borderId="0" xfId="0" applyFont="1"/>
    <xf numFmtId="0" fontId="16" fillId="4" borderId="0" xfId="1" applyFont="1" applyFill="1" applyAlignment="1">
      <alignment horizontal="center"/>
    </xf>
    <xf numFmtId="0" fontId="13" fillId="0" borderId="0" xfId="0" applyFont="1"/>
    <xf numFmtId="0" fontId="8" fillId="0" borderId="3" xfId="0" applyFont="1" applyBorder="1"/>
    <xf numFmtId="166" fontId="3" fillId="0" borderId="0" xfId="0" applyNumberFormat="1" applyFont="1"/>
  </cellXfs>
  <cellStyles count="11">
    <cellStyle name="Normal" xfId="0" builtinId="0"/>
    <cellStyle name="Normal 2" xfId="1"/>
    <cellStyle name="Normal 2 2" xfId="3"/>
    <cellStyle name="Normal 2 3" xfId="7"/>
    <cellStyle name="Normal 3" xfId="2"/>
    <cellStyle name="Normal 3 2" xfId="8"/>
    <cellStyle name="Normal 4" xfId="4"/>
    <cellStyle name="Normal 5" xfId="5"/>
    <cellStyle name="Normal 5 2" xfId="6"/>
    <cellStyle name="Normal 5 3" xfId="10"/>
    <cellStyle name="Normal 7" xfId="9"/>
  </cellStyles>
  <dxfs count="9">
    <dxf>
      <font>
        <color rgb="FF9C0006"/>
      </font>
      <fill>
        <patternFill>
          <bgColor rgb="FFFFC7CE"/>
        </patternFill>
      </fill>
    </dxf>
    <dxf>
      <font>
        <color rgb="FF9C0006"/>
      </font>
      <fill>
        <patternFill>
          <bgColor rgb="FFFFC7CE"/>
        </patternFill>
      </fill>
    </dxf>
    <dxf>
      <fill>
        <patternFill>
          <bgColor rgb="FFC00000"/>
        </patternFill>
      </fill>
    </dxf>
    <dxf>
      <fill>
        <patternFill>
          <bgColor rgb="FFC00000"/>
        </patternFill>
      </fill>
    </dxf>
    <dxf>
      <fill>
        <patternFill>
          <bgColor theme="9" tint="-0.24994659260841701"/>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tableStyleElement type="wholeTable" dxfId="8"/>
      <tableStyleElement type="headerRow" dxfId="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tabColor theme="9" tint="0.39997558519241921"/>
  </sheetPr>
  <dimension ref="A1:C15"/>
  <sheetViews>
    <sheetView workbookViewId="0"/>
  </sheetViews>
  <sheetFormatPr defaultColWidth="11" defaultRowHeight="12.75"/>
  <cols>
    <col min="1" max="1" width="70.83203125" style="2" bestFit="1" customWidth="1"/>
    <col min="2" max="16384" width="11" style="2"/>
  </cols>
  <sheetData>
    <row r="1" spans="1:3" ht="18.75">
      <c r="A1" s="38" t="s">
        <v>106</v>
      </c>
    </row>
    <row r="2" spans="1:3">
      <c r="A2" s="2" t="s">
        <v>107</v>
      </c>
    </row>
    <row r="3" spans="1:3">
      <c r="A3" s="2" t="s">
        <v>108</v>
      </c>
    </row>
    <row r="4" spans="1:3" ht="15">
      <c r="A4" s="2" t="s">
        <v>109</v>
      </c>
      <c r="C4" s="1"/>
    </row>
    <row r="5" spans="1:3">
      <c r="A5" s="2" t="s">
        <v>150</v>
      </c>
    </row>
    <row r="8" spans="1:3">
      <c r="A8" s="2" t="s">
        <v>170</v>
      </c>
    </row>
    <row r="9" spans="1:3">
      <c r="A9" s="35" t="s">
        <v>168</v>
      </c>
      <c r="B9" s="26" t="s">
        <v>166</v>
      </c>
    </row>
    <row r="10" spans="1:3">
      <c r="A10" s="34" t="s">
        <v>169</v>
      </c>
      <c r="B10" s="36">
        <v>25</v>
      </c>
    </row>
    <row r="11" spans="1:3">
      <c r="A11" s="34" t="s">
        <v>53</v>
      </c>
      <c r="B11" s="36">
        <v>30</v>
      </c>
    </row>
    <row r="12" spans="1:3">
      <c r="A12" s="34" t="s">
        <v>54</v>
      </c>
      <c r="B12" s="36">
        <v>10</v>
      </c>
    </row>
    <row r="13" spans="1:3">
      <c r="A13" s="34" t="s">
        <v>83</v>
      </c>
      <c r="B13" s="36">
        <v>20</v>
      </c>
    </row>
    <row r="14" spans="1:3">
      <c r="A14" s="34" t="s">
        <v>96</v>
      </c>
      <c r="B14" s="36">
        <v>40</v>
      </c>
    </row>
    <row r="15" spans="1:3">
      <c r="A15" s="37" t="s">
        <v>167</v>
      </c>
      <c r="B15" s="25">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dimension ref="A1:X41"/>
  <sheetViews>
    <sheetView tabSelected="1" workbookViewId="0">
      <pane ySplit="1" topLeftCell="A2" activePane="bottomLeft" state="frozen"/>
      <selection pane="bottomLeft" activeCell="D40" sqref="D40"/>
    </sheetView>
  </sheetViews>
  <sheetFormatPr defaultColWidth="9" defaultRowHeight="15"/>
  <cols>
    <col min="1" max="1" width="25.5" style="1" bestFit="1" customWidth="1"/>
    <col min="2" max="2" width="7.5" style="1" bestFit="1" customWidth="1"/>
    <col min="3" max="3" width="9.83203125" style="1" bestFit="1" customWidth="1"/>
    <col min="4" max="4" width="11" style="24" customWidth="1"/>
    <col min="5" max="5" width="9.1640625" style="1" bestFit="1" customWidth="1"/>
    <col min="6" max="6" width="10.5" style="24" bestFit="1" customWidth="1"/>
    <col min="7" max="9" width="12.83203125" style="1" bestFit="1" customWidth="1"/>
    <col min="10" max="12" width="13" style="1" bestFit="1" customWidth="1"/>
    <col min="13" max="15" width="14.1640625" style="1" bestFit="1" customWidth="1"/>
    <col min="16" max="18" width="14.5" style="1" bestFit="1" customWidth="1"/>
    <col min="19" max="20" width="18.83203125" style="1" bestFit="1" customWidth="1"/>
    <col min="21" max="23" width="19" style="1" bestFit="1" customWidth="1"/>
    <col min="24" max="24" width="12.5" style="1" bestFit="1" customWidth="1"/>
    <col min="25" max="16384" width="9" style="1"/>
  </cols>
  <sheetData>
    <row r="1" spans="1:24" s="3" customFormat="1" ht="14.65" customHeight="1">
      <c r="A1" s="27" t="s">
        <v>62</v>
      </c>
      <c r="B1" s="27" t="s">
        <v>43</v>
      </c>
      <c r="C1" s="27" t="s">
        <v>0</v>
      </c>
      <c r="D1" s="28" t="s">
        <v>1</v>
      </c>
      <c r="E1" s="27" t="s">
        <v>2</v>
      </c>
      <c r="F1" s="28" t="s">
        <v>3</v>
      </c>
      <c r="G1" s="29" t="s">
        <v>77</v>
      </c>
      <c r="H1" s="29" t="s">
        <v>63</v>
      </c>
      <c r="I1" s="29" t="s">
        <v>64</v>
      </c>
      <c r="J1" s="30" t="s">
        <v>65</v>
      </c>
      <c r="K1" s="30" t="s">
        <v>66</v>
      </c>
      <c r="L1" s="30" t="s">
        <v>67</v>
      </c>
      <c r="M1" s="29" t="s">
        <v>68</v>
      </c>
      <c r="N1" s="29" t="s">
        <v>69</v>
      </c>
      <c r="O1" s="29" t="s">
        <v>70</v>
      </c>
      <c r="P1" s="30" t="s">
        <v>71</v>
      </c>
      <c r="Q1" s="30" t="s">
        <v>72</v>
      </c>
      <c r="R1" s="30" t="s">
        <v>73</v>
      </c>
      <c r="S1" s="29" t="s">
        <v>78</v>
      </c>
      <c r="T1" s="29" t="s">
        <v>74</v>
      </c>
      <c r="U1" s="30" t="s">
        <v>79</v>
      </c>
      <c r="V1" s="30" t="s">
        <v>75</v>
      </c>
      <c r="W1" s="30" t="s">
        <v>76</v>
      </c>
      <c r="X1" s="3" t="s">
        <v>103</v>
      </c>
    </row>
    <row r="2" spans="1:24">
      <c r="A2" s="1" t="s">
        <v>40</v>
      </c>
      <c r="B2" s="1">
        <v>20000</v>
      </c>
      <c r="C2" s="1" t="s">
        <v>5</v>
      </c>
      <c r="D2" s="24">
        <v>0</v>
      </c>
      <c r="E2" s="1" t="s">
        <v>6</v>
      </c>
      <c r="F2" s="24">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4">
        <v>45051</v>
      </c>
    </row>
    <row r="3" spans="1:24">
      <c r="A3" s="1" t="s">
        <v>4</v>
      </c>
      <c r="B3" s="1">
        <v>20002</v>
      </c>
      <c r="C3" s="1" t="s">
        <v>5</v>
      </c>
      <c r="D3" s="24">
        <v>0</v>
      </c>
      <c r="E3" s="1" t="s">
        <v>6</v>
      </c>
      <c r="F3" s="24">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4">
        <v>45048</v>
      </c>
    </row>
    <row r="4" spans="1:24">
      <c r="A4" s="1" t="s">
        <v>7</v>
      </c>
      <c r="B4" s="1">
        <v>20004</v>
      </c>
      <c r="C4" s="1" t="s">
        <v>5</v>
      </c>
      <c r="D4" s="24">
        <v>0</v>
      </c>
      <c r="E4" s="1" t="s">
        <v>6</v>
      </c>
      <c r="F4" s="24">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4">
        <v>45055</v>
      </c>
    </row>
    <row r="5" spans="1:24">
      <c r="A5" s="1" t="s">
        <v>8</v>
      </c>
      <c r="B5" s="1">
        <v>20006</v>
      </c>
      <c r="C5" s="1" t="s">
        <v>5</v>
      </c>
      <c r="D5" s="24">
        <v>0</v>
      </c>
      <c r="E5" s="1" t="s">
        <v>6</v>
      </c>
      <c r="F5" s="24">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4">
        <v>45059</v>
      </c>
    </row>
    <row r="6" spans="1:24">
      <c r="A6" s="1" t="s">
        <v>9</v>
      </c>
      <c r="B6" s="1">
        <v>20008</v>
      </c>
      <c r="C6" s="1" t="s">
        <v>5</v>
      </c>
      <c r="D6" s="24">
        <v>0</v>
      </c>
      <c r="E6" s="1" t="s">
        <v>6</v>
      </c>
      <c r="F6" s="24">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4">
        <v>45076</v>
      </c>
    </row>
    <row r="7" spans="1:24">
      <c r="A7" s="1" t="s">
        <v>10</v>
      </c>
      <c r="B7" s="1">
        <v>20010</v>
      </c>
      <c r="C7" s="1" t="s">
        <v>5</v>
      </c>
      <c r="D7" s="24">
        <v>0</v>
      </c>
      <c r="E7" s="1" t="s">
        <v>6</v>
      </c>
      <c r="F7" s="24">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4">
        <v>45057</v>
      </c>
    </row>
    <row r="8" spans="1:24">
      <c r="A8" s="1" t="s">
        <v>11</v>
      </c>
      <c r="B8" s="1">
        <v>20012</v>
      </c>
      <c r="C8" s="1" t="s">
        <v>5</v>
      </c>
      <c r="D8" s="24">
        <v>0</v>
      </c>
      <c r="E8" s="1" t="s">
        <v>6</v>
      </c>
      <c r="F8" s="24">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4">
        <v>45052</v>
      </c>
    </row>
    <row r="9" spans="1:24">
      <c r="A9" s="1" t="s">
        <v>12</v>
      </c>
      <c r="B9" s="1">
        <v>20014</v>
      </c>
      <c r="C9" s="1" t="s">
        <v>5</v>
      </c>
      <c r="D9" s="24">
        <v>0</v>
      </c>
      <c r="E9" s="1" t="s">
        <v>6</v>
      </c>
      <c r="F9" s="24">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4">
        <v>45098</v>
      </c>
    </row>
    <row r="10" spans="1:24">
      <c r="A10" s="1" t="s">
        <v>13</v>
      </c>
      <c r="B10" s="1">
        <v>20016</v>
      </c>
      <c r="C10" s="1" t="s">
        <v>5</v>
      </c>
      <c r="D10" s="24">
        <v>0</v>
      </c>
      <c r="E10" s="1" t="s">
        <v>6</v>
      </c>
      <c r="F10" s="24">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4">
        <v>45092</v>
      </c>
    </row>
    <row r="11" spans="1:24">
      <c r="A11" s="1" t="s">
        <v>14</v>
      </c>
      <c r="B11" s="1">
        <v>20018</v>
      </c>
      <c r="C11" s="1" t="s">
        <v>5</v>
      </c>
      <c r="D11" s="24">
        <v>0</v>
      </c>
      <c r="E11" s="1" t="s">
        <v>6</v>
      </c>
      <c r="F11" s="24">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4">
        <v>45104</v>
      </c>
    </row>
    <row r="12" spans="1:24">
      <c r="A12" s="1" t="s">
        <v>15</v>
      </c>
      <c r="B12" s="1">
        <v>20020</v>
      </c>
      <c r="C12" s="1" t="s">
        <v>5</v>
      </c>
      <c r="D12" s="24">
        <v>0</v>
      </c>
      <c r="E12" s="1" t="s">
        <v>6</v>
      </c>
      <c r="F12" s="24">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4">
        <v>45116</v>
      </c>
    </row>
    <row r="13" spans="1:24">
      <c r="A13" s="1" t="s">
        <v>16</v>
      </c>
      <c r="B13" s="1">
        <v>20022</v>
      </c>
      <c r="C13" s="1" t="s">
        <v>5</v>
      </c>
      <c r="D13" s="24">
        <v>0</v>
      </c>
      <c r="E13" s="1" t="s">
        <v>6</v>
      </c>
      <c r="F13" s="24">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4">
        <v>45110</v>
      </c>
    </row>
    <row r="14" spans="1:24">
      <c r="A14" s="1" t="s">
        <v>17</v>
      </c>
      <c r="B14" s="1">
        <v>20024</v>
      </c>
      <c r="C14" s="1" t="s">
        <v>5</v>
      </c>
      <c r="D14" s="24">
        <v>0</v>
      </c>
      <c r="E14" s="1" t="s">
        <v>6</v>
      </c>
      <c r="F14" s="24">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4">
        <v>45095</v>
      </c>
    </row>
    <row r="15" spans="1:24">
      <c r="A15" s="1" t="s">
        <v>18</v>
      </c>
      <c r="B15" s="1">
        <v>20026</v>
      </c>
      <c r="C15" s="1" t="s">
        <v>5</v>
      </c>
      <c r="D15" s="24">
        <v>0</v>
      </c>
      <c r="E15" s="1" t="s">
        <v>6</v>
      </c>
      <c r="F15" s="24">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4">
        <v>45113</v>
      </c>
    </row>
    <row r="16" spans="1:24">
      <c r="A16" s="1" t="s">
        <v>19</v>
      </c>
      <c r="B16" s="1">
        <v>20028</v>
      </c>
      <c r="C16" s="1" t="s">
        <v>5</v>
      </c>
      <c r="D16" s="24">
        <v>0</v>
      </c>
      <c r="E16" s="1" t="s">
        <v>6</v>
      </c>
      <c r="F16" s="24">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4">
        <v>45063</v>
      </c>
    </row>
    <row r="17" spans="1:24">
      <c r="A17" s="1" t="s">
        <v>20</v>
      </c>
      <c r="B17" s="1">
        <v>20030</v>
      </c>
      <c r="C17" s="1" t="s">
        <v>5</v>
      </c>
      <c r="D17" s="24">
        <v>0</v>
      </c>
      <c r="E17" s="1" t="s">
        <v>6</v>
      </c>
      <c r="F17" s="24">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4">
        <v>45071</v>
      </c>
    </row>
    <row r="18" spans="1:24">
      <c r="A18" s="1" t="s">
        <v>21</v>
      </c>
      <c r="B18" s="1">
        <v>20032</v>
      </c>
      <c r="C18" s="1" t="s">
        <v>5</v>
      </c>
      <c r="D18" s="24">
        <v>0</v>
      </c>
      <c r="E18" s="1" t="s">
        <v>6</v>
      </c>
      <c r="F18" s="24">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4">
        <v>45085</v>
      </c>
    </row>
    <row r="19" spans="1:24">
      <c r="A19" s="1" t="s">
        <v>22</v>
      </c>
      <c r="B19" s="1">
        <v>20034</v>
      </c>
      <c r="C19" s="1" t="s">
        <v>5</v>
      </c>
      <c r="D19" s="24">
        <v>0</v>
      </c>
      <c r="E19" s="1" t="s">
        <v>6</v>
      </c>
      <c r="F19" s="24">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4">
        <v>45099</v>
      </c>
    </row>
    <row r="20" spans="1:24">
      <c r="A20" s="1" t="s">
        <v>23</v>
      </c>
      <c r="B20" s="1">
        <v>20036</v>
      </c>
      <c r="C20" s="1" t="s">
        <v>5</v>
      </c>
      <c r="D20" s="24">
        <v>0</v>
      </c>
      <c r="E20" s="1" t="s">
        <v>6</v>
      </c>
      <c r="F20" s="24">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4">
        <v>45091</v>
      </c>
    </row>
    <row r="21" spans="1:24">
      <c r="A21" s="1" t="s">
        <v>24</v>
      </c>
      <c r="B21" s="1">
        <v>20038</v>
      </c>
      <c r="C21" s="1" t="s">
        <v>5</v>
      </c>
      <c r="D21" s="24">
        <v>0</v>
      </c>
      <c r="E21" s="1" t="s">
        <v>6</v>
      </c>
      <c r="F21" s="24">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4">
        <v>45079</v>
      </c>
    </row>
    <row r="22" spans="1:24">
      <c r="A22" s="1" t="s">
        <v>25</v>
      </c>
      <c r="B22" s="1">
        <v>20040</v>
      </c>
      <c r="C22" s="1" t="s">
        <v>5</v>
      </c>
      <c r="D22" s="24">
        <v>0</v>
      </c>
      <c r="E22" s="1" t="s">
        <v>6</v>
      </c>
      <c r="F22" s="24">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4">
        <v>45075</v>
      </c>
    </row>
    <row r="23" spans="1:24">
      <c r="A23" s="1" t="s">
        <v>41</v>
      </c>
      <c r="B23" s="1">
        <v>20042</v>
      </c>
      <c r="C23" s="1" t="s">
        <v>5</v>
      </c>
      <c r="D23" s="24">
        <v>0</v>
      </c>
      <c r="E23" s="1" t="s">
        <v>6</v>
      </c>
      <c r="F23" s="24">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4">
        <v>45110</v>
      </c>
    </row>
    <row r="24" spans="1:24">
      <c r="A24" s="1" t="s">
        <v>26</v>
      </c>
      <c r="B24" s="1">
        <v>20044</v>
      </c>
      <c r="C24" s="1" t="s">
        <v>5</v>
      </c>
      <c r="D24" s="24">
        <v>0</v>
      </c>
      <c r="E24" s="1" t="s">
        <v>6</v>
      </c>
      <c r="F24" s="24">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4">
        <v>45114</v>
      </c>
    </row>
    <row r="25" spans="1:24">
      <c r="A25" s="1" t="s">
        <v>27</v>
      </c>
      <c r="B25" s="1">
        <v>20046</v>
      </c>
      <c r="C25" s="1" t="s">
        <v>5</v>
      </c>
      <c r="D25" s="24">
        <v>0</v>
      </c>
      <c r="E25" s="1" t="s">
        <v>6</v>
      </c>
      <c r="F25" s="24">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4">
        <v>45118</v>
      </c>
    </row>
    <row r="26" spans="1:24">
      <c r="A26" s="1" t="s">
        <v>28</v>
      </c>
      <c r="B26" s="1">
        <v>20048</v>
      </c>
      <c r="C26" s="1" t="s">
        <v>5</v>
      </c>
      <c r="D26" s="24">
        <v>0</v>
      </c>
      <c r="E26" s="1" t="s">
        <v>6</v>
      </c>
      <c r="F26" s="24">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4">
        <v>45142</v>
      </c>
    </row>
    <row r="27" spans="1:24">
      <c r="A27" s="1" t="s">
        <v>55</v>
      </c>
      <c r="B27" s="1">
        <v>20050</v>
      </c>
      <c r="C27" s="1" t="s">
        <v>5</v>
      </c>
      <c r="D27" s="24">
        <v>0</v>
      </c>
      <c r="E27" s="1" t="s">
        <v>6</v>
      </c>
      <c r="F27" s="24">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4">
        <v>45146</v>
      </c>
    </row>
    <row r="28" spans="1:24">
      <c r="A28" s="1" t="s">
        <v>29</v>
      </c>
      <c r="B28" s="1">
        <v>20052</v>
      </c>
      <c r="C28" s="1" t="s">
        <v>5</v>
      </c>
      <c r="D28" s="24">
        <v>0</v>
      </c>
      <c r="E28" s="1" t="s">
        <v>6</v>
      </c>
      <c r="F28" s="24">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4">
        <v>45108</v>
      </c>
    </row>
    <row r="29" spans="1:24">
      <c r="A29" s="1" t="s">
        <v>30</v>
      </c>
      <c r="B29" s="1">
        <v>20054</v>
      </c>
      <c r="C29" s="1" t="s">
        <v>5</v>
      </c>
      <c r="D29" s="24">
        <v>0</v>
      </c>
      <c r="E29" s="1" t="s">
        <v>6</v>
      </c>
      <c r="F29" s="24">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4">
        <v>45153</v>
      </c>
    </row>
    <row r="30" spans="1:24">
      <c r="A30" s="1" t="s">
        <v>56</v>
      </c>
      <c r="B30" s="1">
        <v>20058</v>
      </c>
      <c r="C30" s="1" t="s">
        <v>5</v>
      </c>
      <c r="D30" s="24">
        <v>0</v>
      </c>
      <c r="E30" s="1" t="s">
        <v>6</v>
      </c>
      <c r="F30" s="24">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4">
        <v>45150</v>
      </c>
    </row>
    <row r="31" spans="1:24">
      <c r="A31" s="1" t="s">
        <v>31</v>
      </c>
      <c r="B31" s="1">
        <v>20060</v>
      </c>
      <c r="C31" s="1" t="s">
        <v>5</v>
      </c>
      <c r="D31" s="24">
        <v>0</v>
      </c>
      <c r="E31" s="1" t="s">
        <v>6</v>
      </c>
      <c r="F31" s="24">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4">
        <v>45157</v>
      </c>
    </row>
    <row r="32" spans="1:24">
      <c r="A32" s="1" t="s">
        <v>32</v>
      </c>
      <c r="B32" s="1">
        <v>21000</v>
      </c>
      <c r="C32" s="1" t="s">
        <v>5</v>
      </c>
      <c r="D32" s="24">
        <v>0</v>
      </c>
      <c r="E32" s="1" t="s">
        <v>6</v>
      </c>
      <c r="F32" s="24">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4">
        <v>45143</v>
      </c>
    </row>
    <row r="33" spans="1:24">
      <c r="A33" s="1" t="s">
        <v>33</v>
      </c>
      <c r="B33" s="1">
        <v>21002</v>
      </c>
      <c r="C33" s="1" t="s">
        <v>5</v>
      </c>
      <c r="D33" s="24">
        <v>0</v>
      </c>
      <c r="E33" s="1" t="s">
        <v>6</v>
      </c>
      <c r="F33" s="24">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4">
        <v>45166</v>
      </c>
    </row>
    <row r="34" spans="1:24">
      <c r="A34" s="1" t="s">
        <v>34</v>
      </c>
      <c r="B34" s="1">
        <v>21004</v>
      </c>
      <c r="C34" s="1" t="s">
        <v>5</v>
      </c>
      <c r="D34" s="24">
        <v>0</v>
      </c>
      <c r="E34" s="1" t="s">
        <v>6</v>
      </c>
      <c r="F34" s="24">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4">
        <v>45162</v>
      </c>
    </row>
    <row r="35" spans="1:24">
      <c r="A35" s="1" t="s">
        <v>35</v>
      </c>
      <c r="B35" s="1">
        <v>21006</v>
      </c>
      <c r="C35" s="1" t="s">
        <v>5</v>
      </c>
      <c r="D35" s="24">
        <v>0</v>
      </c>
      <c r="E35" s="1" t="s">
        <v>6</v>
      </c>
      <c r="F35" s="24">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4">
        <v>45160</v>
      </c>
    </row>
    <row r="36" spans="1:24">
      <c r="A36" s="1" t="s">
        <v>36</v>
      </c>
      <c r="B36" s="1">
        <v>21008</v>
      </c>
      <c r="C36" s="1" t="s">
        <v>5</v>
      </c>
      <c r="D36" s="24">
        <v>0</v>
      </c>
      <c r="E36" s="1" t="s">
        <v>6</v>
      </c>
      <c r="F36" s="24">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4">
        <v>45179</v>
      </c>
    </row>
    <row r="37" spans="1:24">
      <c r="A37" s="1" t="s">
        <v>42</v>
      </c>
      <c r="B37" s="1">
        <v>21010</v>
      </c>
      <c r="C37" s="1" t="s">
        <v>5</v>
      </c>
      <c r="D37" s="24">
        <v>0</v>
      </c>
      <c r="E37" s="1" t="s">
        <v>6</v>
      </c>
      <c r="F37" s="24">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4">
        <v>45157</v>
      </c>
    </row>
    <row r="38" spans="1:24">
      <c r="A38" s="1" t="s">
        <v>37</v>
      </c>
      <c r="B38" s="1">
        <v>21012</v>
      </c>
      <c r="C38" s="1" t="s">
        <v>5</v>
      </c>
      <c r="D38" s="24">
        <v>0</v>
      </c>
      <c r="E38" s="1" t="s">
        <v>6</v>
      </c>
      <c r="F38" s="24">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4">
        <v>45143</v>
      </c>
    </row>
    <row r="39" spans="1:24">
      <c r="A39" s="1" t="s">
        <v>38</v>
      </c>
      <c r="B39" s="1">
        <v>21014</v>
      </c>
      <c r="C39" s="1" t="s">
        <v>5</v>
      </c>
      <c r="D39" s="24">
        <v>0</v>
      </c>
      <c r="E39" s="1" t="s">
        <v>6</v>
      </c>
      <c r="F39" s="24">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4">
        <v>45166</v>
      </c>
    </row>
    <row r="40" spans="1:24">
      <c r="A40" s="1" t="s">
        <v>39</v>
      </c>
      <c r="B40" s="1">
        <v>21016</v>
      </c>
      <c r="C40" s="1" t="s">
        <v>5</v>
      </c>
      <c r="D40" s="24">
        <v>0</v>
      </c>
      <c r="E40" s="1" t="s">
        <v>6</v>
      </c>
      <c r="F40" s="24">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4">
        <v>45162</v>
      </c>
    </row>
    <row r="41" spans="1:24">
      <c r="H41" s="1">
        <f>SUMIF(H2:H40,"&gt;20")</f>
        <v>1473.0000000000002</v>
      </c>
    </row>
  </sheetData>
  <autoFilter ref="A1:X40"/>
  <conditionalFormatting sqref="A1:A1048576">
    <cfRule type="duplicateValues" dxfId="6" priority="5"/>
  </conditionalFormatting>
  <conditionalFormatting sqref="B1:B1048576">
    <cfRule type="duplicateValues" dxfId="5" priority="4"/>
  </conditionalFormatting>
  <conditionalFormatting sqref="A1:X40">
    <cfRule type="cellIs" dxfId="4" priority="1" operator="equal">
      <formula>0</formula>
    </cfRule>
    <cfRule type="cellIs" dxfId="3" priority="2" operator="equal">
      <formula>-1</formula>
    </cfRule>
    <cfRule type="expression" dxfId="2" priority="3">
      <formula>$A$4:$X$40=-1</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dimension ref="A1:B7"/>
  <sheetViews>
    <sheetView workbookViewId="0">
      <selection activeCell="D11" sqref="D11"/>
    </sheetView>
  </sheetViews>
  <sheetFormatPr defaultColWidth="11" defaultRowHeight="15"/>
  <cols>
    <col min="1" max="1" width="20.5" style="1" customWidth="1"/>
    <col min="2" max="2" width="50.5" style="1" customWidth="1"/>
    <col min="3" max="16384" width="11" style="1"/>
  </cols>
  <sheetData>
    <row r="1" spans="1:2">
      <c r="A1" s="4" t="s">
        <v>45</v>
      </c>
      <c r="B1" s="4" t="s">
        <v>46</v>
      </c>
    </row>
    <row r="2" spans="1:2">
      <c r="A2" s="2"/>
      <c r="B2" s="5" t="s">
        <v>158</v>
      </c>
    </row>
    <row r="3" spans="1:2">
      <c r="A3" s="6">
        <v>1</v>
      </c>
      <c r="B3" s="2" t="s">
        <v>105</v>
      </c>
    </row>
    <row r="4" spans="1:2">
      <c r="A4" s="6">
        <v>2</v>
      </c>
      <c r="B4" s="2" t="s">
        <v>44</v>
      </c>
    </row>
    <row r="5" spans="1:2">
      <c r="A5" s="6">
        <v>3</v>
      </c>
      <c r="B5" s="2" t="s">
        <v>102</v>
      </c>
    </row>
    <row r="6" spans="1:2">
      <c r="A6" s="6">
        <v>4</v>
      </c>
      <c r="B6" s="2" t="s">
        <v>104</v>
      </c>
    </row>
    <row r="7" spans="1:2">
      <c r="A7" s="2"/>
      <c r="B7" s="2"/>
    </row>
  </sheetData>
  <conditionalFormatting sqref="A9:A11">
    <cfRule type="duplicateValues" dxfId="1" priority="11"/>
  </conditionalFormatting>
  <conditionalFormatting sqref="B9:B11">
    <cfRule type="duplicateValues" dxfId="0" priority="12"/>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dimension ref="A1:G30"/>
  <sheetViews>
    <sheetView topLeftCell="A4" workbookViewId="0">
      <selection activeCell="I9" sqref="I9"/>
    </sheetView>
  </sheetViews>
  <sheetFormatPr defaultColWidth="11" defaultRowHeight="12.75"/>
  <cols>
    <col min="1" max="1" width="18.5" style="2" bestFit="1" customWidth="1"/>
    <col min="2" max="6" width="15.5" style="2" customWidth="1"/>
    <col min="7" max="7" width="11" style="2"/>
    <col min="8" max="8" width="14.5" style="2" bestFit="1" customWidth="1"/>
    <col min="9" max="16384" width="11" style="2"/>
  </cols>
  <sheetData>
    <row r="1" spans="1:7" s="40" customFormat="1" ht="21">
      <c r="A1" s="41" t="s">
        <v>53</v>
      </c>
      <c r="B1" s="40" t="s">
        <v>162</v>
      </c>
    </row>
    <row r="2" spans="1:7" s="40" customFormat="1" ht="21">
      <c r="B2" s="40" t="s">
        <v>159</v>
      </c>
    </row>
    <row r="3" spans="1:7" ht="15">
      <c r="A3" s="1"/>
      <c r="B3" s="1"/>
      <c r="C3" s="1"/>
      <c r="D3" s="1"/>
      <c r="E3" s="1"/>
      <c r="F3" s="1"/>
      <c r="G3" s="1"/>
    </row>
    <row r="4" spans="1:7" ht="23.25">
      <c r="A4" s="18" t="s">
        <v>160</v>
      </c>
      <c r="B4" s="1"/>
      <c r="C4" s="1"/>
      <c r="D4" s="1"/>
      <c r="E4" s="1"/>
      <c r="F4" s="1"/>
      <c r="G4" s="1"/>
    </row>
    <row r="5" spans="1:7" ht="15">
      <c r="A5" s="20" t="s">
        <v>62</v>
      </c>
      <c r="B5" s="21" t="s">
        <v>77</v>
      </c>
      <c r="C5" s="22" t="s">
        <v>69</v>
      </c>
      <c r="D5" s="21" t="s">
        <v>73</v>
      </c>
      <c r="E5" s="22" t="s">
        <v>74</v>
      </c>
      <c r="F5" s="23" t="s">
        <v>75</v>
      </c>
    </row>
    <row r="6" spans="1:7" ht="15">
      <c r="A6" s="7" t="s">
        <v>40</v>
      </c>
      <c r="B6" s="12">
        <f>VLOOKUP(A6,Dataset!A:G,7,0)</f>
        <v>2.7</v>
      </c>
      <c r="C6" s="12">
        <f>VLOOKUP(A6,Dataset!A:M,13,0)</f>
        <v>5.3</v>
      </c>
      <c r="D6" s="12">
        <f>VLOOKUP(A6,Dataset!A:R,18,0)</f>
        <v>4.2</v>
      </c>
      <c r="E6" s="12">
        <f>VLOOKUP(A6,Dataset!A:T,20,0)</f>
        <v>8.9</v>
      </c>
      <c r="F6" s="8">
        <f>VLOOKUP(A6,Dataset!A:V,22,0)</f>
        <v>4.2</v>
      </c>
    </row>
    <row r="7" spans="1:7" ht="15">
      <c r="A7" s="7" t="s">
        <v>4</v>
      </c>
      <c r="B7" s="12">
        <f>VLOOKUP(A7,Dataset!A:G,7,0)</f>
        <v>2.7</v>
      </c>
      <c r="C7" s="12">
        <f>VLOOKUP(A7,Dataset!A:M,13,0)</f>
        <v>5.3</v>
      </c>
      <c r="D7" s="12">
        <f>VLOOKUP(A7,Dataset!A:R,18,0)</f>
        <v>4.2</v>
      </c>
      <c r="E7" s="12">
        <f>VLOOKUP(A7,Dataset!A:T,20,0)</f>
        <v>8.9</v>
      </c>
      <c r="F7" s="8">
        <f>VLOOKUP(A7,Dataset!A:V,22,0)</f>
        <v>4.2</v>
      </c>
    </row>
    <row r="8" spans="1:7" ht="15">
      <c r="A8" s="7" t="s">
        <v>7</v>
      </c>
      <c r="B8" s="12">
        <f>VLOOKUP(A8,Dataset!A:G,7,0)</f>
        <v>3.6</v>
      </c>
      <c r="C8" s="12">
        <f>VLOOKUP(A8,Dataset!A:M,13,0)</f>
        <v>7.6</v>
      </c>
      <c r="D8" s="12">
        <f>VLOOKUP(A8,Dataset!A:R,18,0)</f>
        <v>5.8</v>
      </c>
      <c r="E8" s="12">
        <f>VLOOKUP(A8,Dataset!A:T,20,0)</f>
        <v>12.2</v>
      </c>
      <c r="F8" s="8">
        <f>VLOOKUP(A8,Dataset!A:V,22,0)</f>
        <v>5.8</v>
      </c>
    </row>
    <row r="9" spans="1:7" ht="15">
      <c r="A9" s="7" t="s">
        <v>8</v>
      </c>
      <c r="B9" s="12">
        <f>VLOOKUP(A9,Dataset!A:G,7,0)</f>
        <v>4.9000000000000004</v>
      </c>
      <c r="C9" s="12">
        <f>VLOOKUP(A9,Dataset!A:M,13,0)</f>
        <v>10</v>
      </c>
      <c r="D9" s="12">
        <f>VLOOKUP(A9,Dataset!A:R,18,0)</f>
        <v>8.1</v>
      </c>
      <c r="E9" s="12">
        <f>VLOOKUP(A9,Dataset!A:T,20,0)</f>
        <v>17</v>
      </c>
      <c r="F9" s="8">
        <f>VLOOKUP(A9,Dataset!A:V,22,0)</f>
        <v>8.1</v>
      </c>
    </row>
    <row r="10" spans="1:7" ht="15">
      <c r="A10" s="7" t="s">
        <v>11</v>
      </c>
      <c r="B10" s="12">
        <f>VLOOKUP(A10,Dataset!A:G,7,0)</f>
        <v>9.4</v>
      </c>
      <c r="C10" s="12">
        <f>VLOOKUP(A10,Dataset!A:M,13,0)</f>
        <v>19.2</v>
      </c>
      <c r="D10" s="12">
        <f>VLOOKUP(A10,Dataset!A:R,18,0)</f>
        <v>16.100000000000001</v>
      </c>
      <c r="E10" s="12">
        <f>VLOOKUP(A10,Dataset!A:T,20,0)</f>
        <v>32.799999999999997</v>
      </c>
      <c r="F10" s="8">
        <f>VLOOKUP(A10,Dataset!A:V,22,0)</f>
        <v>16.100000000000001</v>
      </c>
    </row>
    <row r="11" spans="1:7" ht="15">
      <c r="A11" s="7" t="s">
        <v>12</v>
      </c>
      <c r="B11" s="12">
        <f>VLOOKUP(A11,Dataset!A:G,7,0)</f>
        <v>11.6</v>
      </c>
      <c r="C11" s="12">
        <f>VLOOKUP(A11,Dataset!A:M,13,0)</f>
        <v>23.6</v>
      </c>
      <c r="D11" s="12">
        <f>VLOOKUP(A11,Dataset!A:R,18,0)</f>
        <v>21.3</v>
      </c>
      <c r="E11" s="12">
        <f>VLOOKUP(A11,Dataset!A:T,20,0)</f>
        <v>43</v>
      </c>
      <c r="F11" s="8">
        <f>VLOOKUP(A11,Dataset!A:V,22,0)</f>
        <v>21.3</v>
      </c>
    </row>
    <row r="12" spans="1:7" ht="15">
      <c r="A12" s="7" t="s">
        <v>14</v>
      </c>
      <c r="B12" s="12">
        <f>VLOOKUP(A12,Dataset!A:G,7,0)</f>
        <v>18.399999999999999</v>
      </c>
      <c r="C12" s="12">
        <f>VLOOKUP(A12,Dataset!A:M,13,0)</f>
        <v>37.200000000000003</v>
      </c>
      <c r="D12" s="12">
        <f>VLOOKUP(A12,Dataset!A:R,18,0)</f>
        <v>33.799999999999997</v>
      </c>
      <c r="E12" s="12">
        <f>VLOOKUP(A12,Dataset!A:T,20,0)</f>
        <v>67.900000000000006</v>
      </c>
      <c r="F12" s="8">
        <f>VLOOKUP(A12,Dataset!A:V,22,0)</f>
        <v>33.799999999999997</v>
      </c>
    </row>
    <row r="13" spans="1:7" ht="15">
      <c r="A13" s="7" t="s">
        <v>15</v>
      </c>
      <c r="B13" s="12">
        <f>VLOOKUP(A13,Dataset!A:G,7,0)</f>
        <v>0</v>
      </c>
      <c r="C13" s="12">
        <f>VLOOKUP(A13,Dataset!A:M,13,0)</f>
        <v>0</v>
      </c>
      <c r="D13" s="12">
        <f>VLOOKUP(A13,Dataset!A:R,18,0)</f>
        <v>0</v>
      </c>
      <c r="E13" s="12">
        <f>VLOOKUP(A13,Dataset!A:T,20,0)</f>
        <v>0</v>
      </c>
      <c r="F13" s="8">
        <f>VLOOKUP(A13,Dataset!A:V,22,0)</f>
        <v>0</v>
      </c>
    </row>
    <row r="14" spans="1:7" ht="15">
      <c r="A14" s="7" t="s">
        <v>16</v>
      </c>
      <c r="B14" s="12">
        <f>VLOOKUP(A14,Dataset!A:G,7,0)</f>
        <v>21.9</v>
      </c>
      <c r="C14" s="12">
        <f>VLOOKUP(A14,Dataset!A:M,13,0)</f>
        <v>42.3</v>
      </c>
      <c r="D14" s="12">
        <f>VLOOKUP(A14,Dataset!A:R,18,0)</f>
        <v>40.1</v>
      </c>
      <c r="E14" s="12">
        <f>VLOOKUP(A14,Dataset!A:T,20,0)</f>
        <v>76.599999999999994</v>
      </c>
      <c r="F14" s="8">
        <f>VLOOKUP(A14,Dataset!A:V,22,0)</f>
        <v>40.1</v>
      </c>
    </row>
    <row r="15" spans="1:7" ht="15">
      <c r="A15" s="7" t="s">
        <v>18</v>
      </c>
      <c r="B15" s="12">
        <f>VLOOKUP(A15,Dataset!A:G,7,0)</f>
        <v>26.8</v>
      </c>
      <c r="C15" s="12">
        <f>VLOOKUP(A15,Dataset!A:M,13,0)</f>
        <v>54.6</v>
      </c>
      <c r="D15" s="12">
        <f>VLOOKUP(A15,Dataset!A:R,18,0)</f>
        <v>47.9</v>
      </c>
      <c r="E15" s="12">
        <f>VLOOKUP(A15,Dataset!A:T,20,0)</f>
        <v>96.8</v>
      </c>
      <c r="F15" s="8">
        <f>VLOOKUP(A15,Dataset!A:V,22,0)</f>
        <v>47.9</v>
      </c>
    </row>
    <row r="16" spans="1:7" ht="15">
      <c r="A16" s="7" t="s">
        <v>20</v>
      </c>
      <c r="B16" s="12">
        <f>VLOOKUP(A16,Dataset!A:G,7,0)</f>
        <v>28.5</v>
      </c>
      <c r="C16" s="12">
        <f>VLOOKUP(A16,Dataset!A:M,13,0)</f>
        <v>58.3</v>
      </c>
      <c r="D16" s="12">
        <f>VLOOKUP(A16,Dataset!A:R,18,0)</f>
        <v>52.3</v>
      </c>
      <c r="E16" s="12">
        <f>VLOOKUP(A16,Dataset!A:T,20,0)</f>
        <v>106.1</v>
      </c>
      <c r="F16" s="8">
        <f>VLOOKUP(A16,Dataset!A:V,22,0)</f>
        <v>52.3</v>
      </c>
    </row>
    <row r="17" spans="1:6" ht="15">
      <c r="A17" s="7" t="s">
        <v>22</v>
      </c>
      <c r="B17" s="12">
        <f>VLOOKUP(A17,Dataset!A:G,7,0)</f>
        <v>30.7</v>
      </c>
      <c r="C17" s="12">
        <f>VLOOKUP(A17,Dataset!A:M,13,0)</f>
        <v>62.5</v>
      </c>
      <c r="D17" s="12">
        <f>VLOOKUP(A17,Dataset!A:R,18,0)</f>
        <v>57</v>
      </c>
      <c r="E17" s="12">
        <f>VLOOKUP(A17,Dataset!A:T,20,0)</f>
        <v>115.1</v>
      </c>
      <c r="F17" s="8">
        <f>VLOOKUP(A17,Dataset!A:V,22,0)</f>
        <v>57</v>
      </c>
    </row>
    <row r="18" spans="1:6" ht="15">
      <c r="A18" s="7" t="s">
        <v>23</v>
      </c>
      <c r="B18" s="12">
        <f>VLOOKUP(A18,Dataset!A:G,7,0)</f>
        <v>33.799999999999997</v>
      </c>
      <c r="C18" s="12">
        <f>VLOOKUP(A18,Dataset!A:M,13,0)</f>
        <v>67.900000000000006</v>
      </c>
      <c r="D18" s="12">
        <f>VLOOKUP(A18,Dataset!A:R,18,0)</f>
        <v>61.4</v>
      </c>
      <c r="E18" s="12">
        <f>VLOOKUP(A18,Dataset!A:T,20,0)</f>
        <v>124.4</v>
      </c>
      <c r="F18" s="8">
        <f>VLOOKUP(A18,Dataset!A:V,22,0)</f>
        <v>61.4</v>
      </c>
    </row>
    <row r="19" spans="1:6" ht="15">
      <c r="A19" s="7" t="s">
        <v>24</v>
      </c>
      <c r="B19" s="12">
        <f>VLOOKUP(A19,Dataset!A:G,7,0)</f>
        <v>34.700000000000003</v>
      </c>
      <c r="C19" s="12">
        <f>VLOOKUP(A19,Dataset!A:M,13,0)</f>
        <v>70.8</v>
      </c>
      <c r="D19" s="12">
        <f>VLOOKUP(A19,Dataset!A:R,18,0)</f>
        <v>63.6</v>
      </c>
      <c r="E19" s="12">
        <f>VLOOKUP(A19,Dataset!A:T,20,0)</f>
        <v>128.6</v>
      </c>
      <c r="F19" s="8">
        <f>VLOOKUP(A19,Dataset!A:V,22,0)</f>
        <v>63.6</v>
      </c>
    </row>
    <row r="20" spans="1:6" ht="15">
      <c r="A20" s="7" t="s">
        <v>28</v>
      </c>
      <c r="B20" s="12">
        <f>VLOOKUP(A20,Dataset!A:G,7,0)</f>
        <v>0</v>
      </c>
      <c r="C20" s="12">
        <f>VLOOKUP(A20,Dataset!A:M,13,0)</f>
        <v>0</v>
      </c>
      <c r="D20" s="12">
        <f>VLOOKUP(A20,Dataset!A:R,18,0)</f>
        <v>0</v>
      </c>
      <c r="E20" s="12">
        <f>VLOOKUP(A20,Dataset!A:T,20,0)</f>
        <v>0</v>
      </c>
      <c r="F20" s="8">
        <f>VLOOKUP(A20,Dataset!A:V,22,0)</f>
        <v>0</v>
      </c>
    </row>
    <row r="21" spans="1:6" ht="15">
      <c r="A21" s="7" t="s">
        <v>55</v>
      </c>
      <c r="B21" s="12">
        <f>VLOOKUP(A21,Dataset!A:G,7,0)</f>
        <v>41.3</v>
      </c>
      <c r="C21" s="12">
        <f>VLOOKUP(A21,Dataset!A:M,13,0)</f>
        <v>83.5</v>
      </c>
      <c r="D21" s="12">
        <f>VLOOKUP(A21,Dataset!A:R,18,0)</f>
        <v>75</v>
      </c>
      <c r="E21" s="12">
        <f>VLOOKUP(A21,Dataset!A:T,20,0)</f>
        <v>151.5</v>
      </c>
      <c r="F21" s="8">
        <f>VLOOKUP(A21,Dataset!A:V,22,0)</f>
        <v>75</v>
      </c>
    </row>
    <row r="22" spans="1:6" ht="15">
      <c r="A22" s="7" t="s">
        <v>56</v>
      </c>
      <c r="B22" s="12">
        <f>VLOOKUP(A22,Dataset!A:G,7,0)</f>
        <v>-1</v>
      </c>
      <c r="C22" s="12">
        <f>VLOOKUP(A22,Dataset!A:M,13,0)</f>
        <v>-1</v>
      </c>
      <c r="D22" s="12">
        <f>VLOOKUP(A22,Dataset!A:R,18,0)</f>
        <v>-1</v>
      </c>
      <c r="E22" s="12">
        <f>VLOOKUP(A22,Dataset!A:T,20,0)</f>
        <v>-1</v>
      </c>
      <c r="F22" s="8">
        <f>VLOOKUP(A22,Dataset!A:V,22,0)</f>
        <v>-1</v>
      </c>
    </row>
    <row r="23" spans="1:6" ht="15">
      <c r="A23" s="7" t="s">
        <v>31</v>
      </c>
      <c r="B23" s="12">
        <f>VLOOKUP(A23,Dataset!A:G,7,0)</f>
        <v>45</v>
      </c>
      <c r="C23" s="12">
        <f>VLOOKUP(A23,Dataset!A:M,13,0)</f>
        <v>90.9</v>
      </c>
      <c r="D23" s="12">
        <f>VLOOKUP(A23,Dataset!A:R,18,0)</f>
        <v>79.400000000000006</v>
      </c>
      <c r="E23" s="12">
        <f>VLOOKUP(A23,Dataset!A:T,20,0)</f>
        <v>160.9</v>
      </c>
      <c r="F23" s="8">
        <f>VLOOKUP(A23,Dataset!A:V,22,0)</f>
        <v>79.400000000000006</v>
      </c>
    </row>
    <row r="24" spans="1:6" ht="15">
      <c r="A24" s="7" t="s">
        <v>32</v>
      </c>
      <c r="B24" s="12">
        <f>VLOOKUP(A24,Dataset!A:G,7,0)</f>
        <v>-1</v>
      </c>
      <c r="C24" s="12">
        <f>VLOOKUP(A24,Dataset!A:M,13,0)</f>
        <v>-1</v>
      </c>
      <c r="D24" s="12">
        <f>VLOOKUP(A24,Dataset!A:R,18,0)</f>
        <v>-1</v>
      </c>
      <c r="E24" s="12">
        <f>VLOOKUP(A24,Dataset!A:T,20,0)</f>
        <v>-1</v>
      </c>
      <c r="F24" s="8">
        <f>VLOOKUP(A24,Dataset!A:V,22,0)</f>
        <v>-1</v>
      </c>
    </row>
    <row r="25" spans="1:6" ht="15">
      <c r="A25" s="7" t="s">
        <v>34</v>
      </c>
      <c r="B25" s="12">
        <f>VLOOKUP(A25,Dataset!A:G,7,0)</f>
        <v>43.3</v>
      </c>
      <c r="C25" s="12">
        <f>VLOOKUP(A25,Dataset!A:M,13,0)</f>
        <v>87.6</v>
      </c>
      <c r="D25" s="12">
        <f>VLOOKUP(A25,Dataset!A:R,18,0)</f>
        <v>79.400000000000006</v>
      </c>
      <c r="E25" s="12">
        <f>VLOOKUP(A25,Dataset!A:T,20,0)</f>
        <v>160.9</v>
      </c>
      <c r="F25" s="8">
        <f>VLOOKUP(A25,Dataset!A:V,22,0)</f>
        <v>79.400000000000006</v>
      </c>
    </row>
    <row r="26" spans="1:6" ht="15">
      <c r="A26" s="7" t="s">
        <v>37</v>
      </c>
      <c r="B26" s="12">
        <f>VLOOKUP(A26,Dataset!A:G,7,0)</f>
        <v>49.1</v>
      </c>
      <c r="C26" s="12">
        <f>VLOOKUP(A26,Dataset!A:M,13,0)</f>
        <v>99.5</v>
      </c>
      <c r="D26" s="12">
        <f>VLOOKUP(A26,Dataset!A:R,18,0)</f>
        <v>90.9</v>
      </c>
      <c r="E26" s="12">
        <f>VLOOKUP(A26,Dataset!A:T,20,0)</f>
        <v>183.5</v>
      </c>
      <c r="F26" s="8">
        <f>VLOOKUP(A26,Dataset!A:V,22,0)</f>
        <v>90.9</v>
      </c>
    </row>
    <row r="27" spans="1:6" ht="15">
      <c r="A27" s="7" t="s">
        <v>39</v>
      </c>
      <c r="B27" s="12">
        <f>VLOOKUP(A27,Dataset!A:G,7,0)</f>
        <v>51.8</v>
      </c>
      <c r="C27" s="12">
        <f>VLOOKUP(A27,Dataset!A:M,13,0)</f>
        <v>104.5</v>
      </c>
      <c r="D27" s="12">
        <f>VLOOKUP(A27,Dataset!A:R,18,0)</f>
        <v>93.1</v>
      </c>
      <c r="E27" s="12">
        <f>VLOOKUP(A27,Dataset!A:T,20,0)</f>
        <v>188.1</v>
      </c>
      <c r="F27" s="8">
        <f>VLOOKUP(A27,Dataset!A:V,22,0)</f>
        <v>93.1</v>
      </c>
    </row>
    <row r="28" spans="1:6" ht="15">
      <c r="A28" s="19" t="s">
        <v>80</v>
      </c>
      <c r="B28" s="31">
        <f>MIN(B6:B27)</f>
        <v>-1</v>
      </c>
      <c r="C28" s="31">
        <f>MIN(C6:C27)</f>
        <v>-1</v>
      </c>
      <c r="D28" s="31">
        <f>MIN(D6:D27)</f>
        <v>-1</v>
      </c>
      <c r="E28" s="31">
        <f>MIN(E6:E27)</f>
        <v>-1</v>
      </c>
      <c r="F28" s="31">
        <f>MIN(F6:F27)</f>
        <v>-1</v>
      </c>
    </row>
    <row r="29" spans="1:6" ht="15">
      <c r="A29" s="19" t="s">
        <v>81</v>
      </c>
      <c r="B29" s="31">
        <f>MAX(B6:B27)</f>
        <v>51.8</v>
      </c>
      <c r="C29" s="31">
        <f>MAX(C6:C27)</f>
        <v>104.5</v>
      </c>
      <c r="D29" s="31">
        <f>MAX(D6:D27)</f>
        <v>93.1</v>
      </c>
      <c r="E29" s="31">
        <f>MAX(E6:E27)</f>
        <v>188.1</v>
      </c>
      <c r="F29" s="31">
        <f>MAX(F6:F27)</f>
        <v>93.1</v>
      </c>
    </row>
    <row r="30" spans="1:6" ht="15">
      <c r="A30" s="19" t="s">
        <v>82</v>
      </c>
      <c r="B30" s="31">
        <f>AVERAGE(B6:B27)</f>
        <v>20.827272727272728</v>
      </c>
      <c r="C30" s="31">
        <f>AVERAGE(C6:C27)</f>
        <v>42.209090909090904</v>
      </c>
      <c r="D30" s="31">
        <f>AVERAGE(D6:D27)</f>
        <v>37.800000000000004</v>
      </c>
      <c r="E30" s="31">
        <f>AVERAGE(E6:E27)</f>
        <v>76.418181818181822</v>
      </c>
      <c r="F30" s="31">
        <f>AVERAGE(F6:F27)</f>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dimension ref="A1:J54"/>
  <sheetViews>
    <sheetView workbookViewId="0">
      <selection activeCell="B7" sqref="B7"/>
    </sheetView>
  </sheetViews>
  <sheetFormatPr defaultColWidth="11" defaultRowHeight="15"/>
  <cols>
    <col min="1" max="1" width="39.83203125" style="1" bestFit="1" customWidth="1"/>
    <col min="2" max="16384" width="11" style="1"/>
  </cols>
  <sheetData>
    <row r="1" spans="1:10" s="40" customFormat="1" ht="21">
      <c r="A1" s="41" t="s">
        <v>54</v>
      </c>
      <c r="B1" s="40" t="s">
        <v>171</v>
      </c>
    </row>
    <row r="2" spans="1:10" customFormat="1" ht="12.75"/>
    <row r="3" spans="1:10" s="2" customFormat="1">
      <c r="B3" s="1"/>
    </row>
    <row r="4" spans="1:10" s="2" customFormat="1">
      <c r="B4" s="1" t="s">
        <v>149</v>
      </c>
    </row>
    <row r="5" spans="1:10" ht="18.75">
      <c r="A5" s="42" t="s">
        <v>51</v>
      </c>
      <c r="B5" s="39" t="s">
        <v>178</v>
      </c>
    </row>
    <row r="6" spans="1:10" ht="18.75">
      <c r="A6" s="42" t="s">
        <v>151</v>
      </c>
      <c r="B6" s="39" t="s">
        <v>179</v>
      </c>
    </row>
    <row r="7" spans="1:10" ht="18.75">
      <c r="A7" s="42"/>
      <c r="B7" s="39"/>
    </row>
    <row r="9" spans="1:10" ht="23.25">
      <c r="A9" s="18" t="s">
        <v>163</v>
      </c>
      <c r="I9" s="2"/>
      <c r="J9" s="2"/>
    </row>
    <row r="10" spans="1:10">
      <c r="A10" s="33" t="s">
        <v>100</v>
      </c>
      <c r="B10" s="17" t="s">
        <v>47</v>
      </c>
      <c r="C10" s="17" t="s">
        <v>48</v>
      </c>
      <c r="D10" s="17" t="s">
        <v>49</v>
      </c>
      <c r="E10" s="17" t="s">
        <v>50</v>
      </c>
      <c r="F10" s="17" t="s">
        <v>52</v>
      </c>
      <c r="I10" s="2"/>
      <c r="J10" s="2"/>
    </row>
    <row r="11" spans="1:10">
      <c r="A11" s="9" t="s">
        <v>119</v>
      </c>
      <c r="B11" s="13">
        <v>20000</v>
      </c>
      <c r="C11" s="13" t="s">
        <v>5</v>
      </c>
      <c r="D11" s="13">
        <v>0</v>
      </c>
      <c r="E11" s="11" t="s">
        <v>6</v>
      </c>
      <c r="F11" s="11">
        <v>24</v>
      </c>
      <c r="I11" s="2"/>
      <c r="J11" s="2"/>
    </row>
    <row r="14" spans="1:10" ht="23.25">
      <c r="A14" s="18" t="s">
        <v>160</v>
      </c>
    </row>
    <row r="15" spans="1:10">
      <c r="A15" s="14" t="s">
        <v>101</v>
      </c>
      <c r="B15" s="17" t="s">
        <v>47</v>
      </c>
      <c r="C15" s="15" t="s">
        <v>48</v>
      </c>
      <c r="D15" s="17" t="s">
        <v>49</v>
      </c>
      <c r="E15" s="15" t="s">
        <v>50</v>
      </c>
      <c r="F15" s="17" t="s">
        <v>52</v>
      </c>
    </row>
    <row r="16" spans="1:10">
      <c r="A16" s="7" t="s">
        <v>119</v>
      </c>
      <c r="B16" s="12">
        <v>20000</v>
      </c>
      <c r="C16" s="1" t="s">
        <v>5</v>
      </c>
      <c r="D16" s="12">
        <v>0</v>
      </c>
      <c r="E16" s="1" t="s">
        <v>6</v>
      </c>
      <c r="F16" s="12">
        <v>24</v>
      </c>
    </row>
    <row r="17" spans="1:6">
      <c r="A17" s="7" t="s">
        <v>120</v>
      </c>
      <c r="B17" s="12">
        <v>20002</v>
      </c>
      <c r="C17" s="1" t="s">
        <v>5</v>
      </c>
      <c r="D17" s="12">
        <v>0</v>
      </c>
      <c r="E17" s="1" t="s">
        <v>6</v>
      </c>
      <c r="F17" s="12">
        <v>24</v>
      </c>
    </row>
    <row r="18" spans="1:6">
      <c r="A18" s="7" t="s">
        <v>121</v>
      </c>
      <c r="B18" s="12">
        <v>20004</v>
      </c>
      <c r="C18" s="1" t="s">
        <v>5</v>
      </c>
      <c r="D18" s="12">
        <v>0</v>
      </c>
      <c r="E18" s="1" t="s">
        <v>6</v>
      </c>
      <c r="F18" s="12">
        <v>24</v>
      </c>
    </row>
    <row r="19" spans="1:6">
      <c r="A19" s="7" t="s">
        <v>122</v>
      </c>
      <c r="B19" s="12">
        <v>20006</v>
      </c>
      <c r="C19" s="1" t="s">
        <v>5</v>
      </c>
      <c r="D19" s="12">
        <v>0</v>
      </c>
      <c r="E19" s="1" t="s">
        <v>6</v>
      </c>
      <c r="F19" s="12">
        <v>24</v>
      </c>
    </row>
    <row r="20" spans="1:6">
      <c r="A20" s="7" t="s">
        <v>123</v>
      </c>
      <c r="B20" s="12">
        <v>20008</v>
      </c>
      <c r="C20" s="1" t="s">
        <v>5</v>
      </c>
      <c r="D20" s="12">
        <v>0</v>
      </c>
      <c r="E20" s="1" t="s">
        <v>6</v>
      </c>
      <c r="F20" s="12">
        <v>24</v>
      </c>
    </row>
    <row r="21" spans="1:6">
      <c r="A21" s="7" t="s">
        <v>124</v>
      </c>
      <c r="B21" s="12">
        <v>20010</v>
      </c>
      <c r="C21" s="1" t="s">
        <v>5</v>
      </c>
      <c r="D21" s="12">
        <v>0</v>
      </c>
      <c r="E21" s="1" t="s">
        <v>6</v>
      </c>
      <c r="F21" s="12">
        <v>24</v>
      </c>
    </row>
    <row r="22" spans="1:6">
      <c r="A22" s="7" t="s">
        <v>125</v>
      </c>
      <c r="B22" s="12">
        <v>20012</v>
      </c>
      <c r="C22" s="1" t="s">
        <v>5</v>
      </c>
      <c r="D22" s="12">
        <v>0</v>
      </c>
      <c r="E22" s="1" t="s">
        <v>6</v>
      </c>
      <c r="F22" s="12">
        <v>24</v>
      </c>
    </row>
    <row r="23" spans="1:6">
      <c r="A23" s="7" t="s">
        <v>126</v>
      </c>
      <c r="B23" s="12">
        <v>20014</v>
      </c>
      <c r="C23" s="1" t="s">
        <v>5</v>
      </c>
      <c r="D23" s="12">
        <v>0</v>
      </c>
      <c r="E23" s="1" t="s">
        <v>6</v>
      </c>
      <c r="F23" s="12">
        <v>24</v>
      </c>
    </row>
    <row r="24" spans="1:6">
      <c r="A24" s="7" t="s">
        <v>127</v>
      </c>
      <c r="B24" s="12">
        <v>20016</v>
      </c>
      <c r="C24" s="1" t="s">
        <v>5</v>
      </c>
      <c r="D24" s="12">
        <v>0</v>
      </c>
      <c r="E24" s="1" t="s">
        <v>6</v>
      </c>
      <c r="F24" s="12">
        <v>24</v>
      </c>
    </row>
    <row r="25" spans="1:6">
      <c r="A25" s="7" t="s">
        <v>128</v>
      </c>
      <c r="B25" s="12">
        <v>20018</v>
      </c>
      <c r="C25" s="1" t="s">
        <v>5</v>
      </c>
      <c r="D25" s="12">
        <v>0</v>
      </c>
      <c r="E25" s="1" t="s">
        <v>6</v>
      </c>
      <c r="F25" s="12">
        <v>24</v>
      </c>
    </row>
    <row r="26" spans="1:6">
      <c r="A26" s="7" t="s">
        <v>129</v>
      </c>
      <c r="B26" s="12">
        <v>20020</v>
      </c>
      <c r="C26" s="1" t="s">
        <v>5</v>
      </c>
      <c r="D26" s="12">
        <v>0</v>
      </c>
      <c r="E26" s="1" t="s">
        <v>6</v>
      </c>
      <c r="F26" s="12">
        <v>24</v>
      </c>
    </row>
    <row r="27" spans="1:6">
      <c r="A27" s="7" t="s">
        <v>130</v>
      </c>
      <c r="B27" s="12">
        <v>20022</v>
      </c>
      <c r="C27" s="1" t="s">
        <v>5</v>
      </c>
      <c r="D27" s="12">
        <v>0</v>
      </c>
      <c r="E27" s="1" t="s">
        <v>6</v>
      </c>
      <c r="F27" s="12">
        <v>24</v>
      </c>
    </row>
    <row r="28" spans="1:6">
      <c r="A28" s="7" t="s">
        <v>131</v>
      </c>
      <c r="B28" s="12">
        <v>20024</v>
      </c>
      <c r="C28" s="1" t="s">
        <v>5</v>
      </c>
      <c r="D28" s="12">
        <v>0</v>
      </c>
      <c r="E28" s="1" t="s">
        <v>6</v>
      </c>
      <c r="F28" s="12">
        <v>24</v>
      </c>
    </row>
    <row r="29" spans="1:6">
      <c r="A29" s="7" t="s">
        <v>132</v>
      </c>
      <c r="B29" s="12">
        <v>20026</v>
      </c>
      <c r="C29" s="1" t="s">
        <v>5</v>
      </c>
      <c r="D29" s="12">
        <v>0</v>
      </c>
      <c r="E29" s="1" t="s">
        <v>6</v>
      </c>
      <c r="F29" s="12">
        <v>24</v>
      </c>
    </row>
    <row r="30" spans="1:6">
      <c r="A30" s="7" t="s">
        <v>133</v>
      </c>
      <c r="B30" s="12">
        <v>20028</v>
      </c>
      <c r="C30" s="1" t="s">
        <v>5</v>
      </c>
      <c r="D30" s="12">
        <v>0</v>
      </c>
      <c r="E30" s="1" t="s">
        <v>6</v>
      </c>
      <c r="F30" s="12">
        <v>24</v>
      </c>
    </row>
    <row r="31" spans="1:6">
      <c r="A31" s="7" t="s">
        <v>134</v>
      </c>
      <c r="B31" s="12">
        <v>20030</v>
      </c>
      <c r="C31" s="1" t="s">
        <v>5</v>
      </c>
      <c r="D31" s="12">
        <v>0</v>
      </c>
      <c r="E31" s="1" t="s">
        <v>6</v>
      </c>
      <c r="F31" s="12">
        <v>24</v>
      </c>
    </row>
    <row r="32" spans="1:6">
      <c r="A32" s="7" t="s">
        <v>135</v>
      </c>
      <c r="B32" s="12">
        <v>20032</v>
      </c>
      <c r="C32" s="1" t="s">
        <v>5</v>
      </c>
      <c r="D32" s="12">
        <v>0</v>
      </c>
      <c r="E32" s="1" t="s">
        <v>6</v>
      </c>
      <c r="F32" s="12">
        <v>24</v>
      </c>
    </row>
    <row r="33" spans="1:6">
      <c r="A33" s="7" t="s">
        <v>136</v>
      </c>
      <c r="B33" s="12">
        <v>20034</v>
      </c>
      <c r="C33" s="1" t="s">
        <v>5</v>
      </c>
      <c r="D33" s="12">
        <v>0</v>
      </c>
      <c r="E33" s="1" t="s">
        <v>6</v>
      </c>
      <c r="F33" s="12">
        <v>24</v>
      </c>
    </row>
    <row r="34" spans="1:6">
      <c r="A34" s="7" t="s">
        <v>137</v>
      </c>
      <c r="B34" s="12">
        <v>20036</v>
      </c>
      <c r="C34" s="1" t="s">
        <v>5</v>
      </c>
      <c r="D34" s="12">
        <v>0</v>
      </c>
      <c r="E34" s="1" t="s">
        <v>6</v>
      </c>
      <c r="F34" s="12">
        <v>24</v>
      </c>
    </row>
    <row r="35" spans="1:6">
      <c r="A35" s="7" t="s">
        <v>138</v>
      </c>
      <c r="B35" s="12">
        <v>20038</v>
      </c>
      <c r="C35" s="1" t="s">
        <v>5</v>
      </c>
      <c r="D35" s="12">
        <v>0</v>
      </c>
      <c r="E35" s="1" t="s">
        <v>6</v>
      </c>
      <c r="F35" s="12">
        <v>24</v>
      </c>
    </row>
    <row r="36" spans="1:6">
      <c r="A36" s="7" t="s">
        <v>139</v>
      </c>
      <c r="B36" s="12">
        <v>20040</v>
      </c>
      <c r="C36" s="1" t="s">
        <v>5</v>
      </c>
      <c r="D36" s="12">
        <v>0</v>
      </c>
      <c r="E36" s="1" t="s">
        <v>6</v>
      </c>
      <c r="F36" s="12">
        <v>24</v>
      </c>
    </row>
    <row r="37" spans="1:6">
      <c r="A37" s="7" t="s">
        <v>140</v>
      </c>
      <c r="B37" s="12">
        <v>20042</v>
      </c>
      <c r="C37" s="1" t="s">
        <v>5</v>
      </c>
      <c r="D37" s="12">
        <v>0</v>
      </c>
      <c r="E37" s="1" t="s">
        <v>6</v>
      </c>
      <c r="F37" s="12">
        <v>24</v>
      </c>
    </row>
    <row r="38" spans="1:6">
      <c r="A38" s="7" t="s">
        <v>141</v>
      </c>
      <c r="B38" s="12">
        <v>20044</v>
      </c>
      <c r="C38" s="1" t="s">
        <v>5</v>
      </c>
      <c r="D38" s="12">
        <v>0</v>
      </c>
      <c r="E38" s="1" t="s">
        <v>6</v>
      </c>
      <c r="F38" s="12">
        <v>24</v>
      </c>
    </row>
    <row r="39" spans="1:6">
      <c r="A39" s="7" t="s">
        <v>142</v>
      </c>
      <c r="B39" s="12">
        <v>20046</v>
      </c>
      <c r="C39" s="1" t="s">
        <v>5</v>
      </c>
      <c r="D39" s="12">
        <v>0</v>
      </c>
      <c r="E39" s="1" t="s">
        <v>6</v>
      </c>
      <c r="F39" s="12">
        <v>24</v>
      </c>
    </row>
    <row r="40" spans="1:6">
      <c r="A40" s="7" t="s">
        <v>143</v>
      </c>
      <c r="B40" s="12">
        <v>20048</v>
      </c>
      <c r="C40" s="1" t="s">
        <v>5</v>
      </c>
      <c r="D40" s="12">
        <v>0</v>
      </c>
      <c r="E40" s="1" t="s">
        <v>6</v>
      </c>
      <c r="F40" s="12">
        <v>24</v>
      </c>
    </row>
    <row r="41" spans="1:6">
      <c r="A41" s="7" t="s">
        <v>144</v>
      </c>
      <c r="B41" s="12">
        <v>20050</v>
      </c>
      <c r="C41" s="1" t="s">
        <v>5</v>
      </c>
      <c r="D41" s="12">
        <v>0</v>
      </c>
      <c r="E41" s="1" t="s">
        <v>6</v>
      </c>
      <c r="F41" s="12">
        <v>24</v>
      </c>
    </row>
    <row r="42" spans="1:6">
      <c r="A42" s="7" t="s">
        <v>145</v>
      </c>
      <c r="B42" s="12">
        <v>20052</v>
      </c>
      <c r="C42" s="1" t="s">
        <v>5</v>
      </c>
      <c r="D42" s="12">
        <v>0</v>
      </c>
      <c r="E42" s="1" t="s">
        <v>6</v>
      </c>
      <c r="F42" s="12">
        <v>24</v>
      </c>
    </row>
    <row r="43" spans="1:6">
      <c r="A43" s="7" t="s">
        <v>146</v>
      </c>
      <c r="B43" s="12">
        <v>20054</v>
      </c>
      <c r="C43" s="1" t="s">
        <v>5</v>
      </c>
      <c r="D43" s="12">
        <v>0</v>
      </c>
      <c r="E43" s="1" t="s">
        <v>6</v>
      </c>
      <c r="F43" s="12">
        <v>24</v>
      </c>
    </row>
    <row r="44" spans="1:6">
      <c r="A44" s="7" t="s">
        <v>147</v>
      </c>
      <c r="B44" s="12">
        <v>20058</v>
      </c>
      <c r="C44" s="1" t="s">
        <v>5</v>
      </c>
      <c r="D44" s="12">
        <v>0</v>
      </c>
      <c r="E44" s="1" t="s">
        <v>6</v>
      </c>
      <c r="F44" s="12">
        <v>24</v>
      </c>
    </row>
    <row r="45" spans="1:6">
      <c r="A45" s="7" t="s">
        <v>148</v>
      </c>
      <c r="B45" s="12">
        <v>20060</v>
      </c>
      <c r="C45" s="1" t="s">
        <v>5</v>
      </c>
      <c r="D45" s="12">
        <v>0</v>
      </c>
      <c r="E45" s="1" t="s">
        <v>6</v>
      </c>
      <c r="F45" s="12">
        <v>24</v>
      </c>
    </row>
    <row r="46" spans="1:6">
      <c r="A46" s="7" t="s">
        <v>110</v>
      </c>
      <c r="B46" s="12">
        <v>21000</v>
      </c>
      <c r="C46" s="1" t="s">
        <v>5</v>
      </c>
      <c r="D46" s="12">
        <v>0</v>
      </c>
      <c r="E46" s="1" t="s">
        <v>6</v>
      </c>
      <c r="F46" s="12">
        <v>24</v>
      </c>
    </row>
    <row r="47" spans="1:6">
      <c r="A47" s="7" t="s">
        <v>111</v>
      </c>
      <c r="B47" s="12">
        <v>21002</v>
      </c>
      <c r="C47" s="1" t="s">
        <v>5</v>
      </c>
      <c r="D47" s="12">
        <v>0</v>
      </c>
      <c r="E47" s="1" t="s">
        <v>6</v>
      </c>
      <c r="F47" s="12">
        <v>24</v>
      </c>
    </row>
    <row r="48" spans="1:6">
      <c r="A48" s="7" t="s">
        <v>112</v>
      </c>
      <c r="B48" s="12">
        <v>21004</v>
      </c>
      <c r="C48" s="1" t="s">
        <v>5</v>
      </c>
      <c r="D48" s="12">
        <v>0</v>
      </c>
      <c r="E48" s="1" t="s">
        <v>6</v>
      </c>
      <c r="F48" s="12">
        <v>24</v>
      </c>
    </row>
    <row r="49" spans="1:6">
      <c r="A49" s="7" t="s">
        <v>113</v>
      </c>
      <c r="B49" s="12">
        <v>21006</v>
      </c>
      <c r="C49" s="1" t="s">
        <v>5</v>
      </c>
      <c r="D49" s="12">
        <v>0</v>
      </c>
      <c r="E49" s="1" t="s">
        <v>6</v>
      </c>
      <c r="F49" s="12">
        <v>24</v>
      </c>
    </row>
    <row r="50" spans="1:6">
      <c r="A50" s="7" t="s">
        <v>114</v>
      </c>
      <c r="B50" s="12">
        <v>21008</v>
      </c>
      <c r="C50" s="1" t="s">
        <v>5</v>
      </c>
      <c r="D50" s="12">
        <v>0</v>
      </c>
      <c r="E50" s="1" t="s">
        <v>6</v>
      </c>
      <c r="F50" s="12">
        <v>24</v>
      </c>
    </row>
    <row r="51" spans="1:6">
      <c r="A51" s="7" t="s">
        <v>115</v>
      </c>
      <c r="B51" s="12">
        <v>21010</v>
      </c>
      <c r="C51" s="1" t="s">
        <v>5</v>
      </c>
      <c r="D51" s="12">
        <v>0</v>
      </c>
      <c r="E51" s="1" t="s">
        <v>6</v>
      </c>
      <c r="F51" s="12">
        <v>24</v>
      </c>
    </row>
    <row r="52" spans="1:6">
      <c r="A52" s="7" t="s">
        <v>116</v>
      </c>
      <c r="B52" s="12">
        <v>21012</v>
      </c>
      <c r="C52" s="1" t="s">
        <v>5</v>
      </c>
      <c r="D52" s="12">
        <v>0</v>
      </c>
      <c r="E52" s="1" t="s">
        <v>6</v>
      </c>
      <c r="F52" s="12">
        <v>24</v>
      </c>
    </row>
    <row r="53" spans="1:6">
      <c r="A53" s="7" t="s">
        <v>117</v>
      </c>
      <c r="B53" s="12">
        <v>21014</v>
      </c>
      <c r="C53" s="1" t="s">
        <v>5</v>
      </c>
      <c r="D53" s="12">
        <v>0</v>
      </c>
      <c r="E53" s="1" t="s">
        <v>6</v>
      </c>
      <c r="F53" s="12">
        <v>24</v>
      </c>
    </row>
    <row r="54" spans="1:6">
      <c r="A54" s="9" t="s">
        <v>118</v>
      </c>
      <c r="B54" s="13">
        <v>21016</v>
      </c>
      <c r="C54" s="10" t="s">
        <v>5</v>
      </c>
      <c r="D54" s="13">
        <v>0</v>
      </c>
      <c r="E54" s="10" t="s">
        <v>6</v>
      </c>
      <c r="F54" s="13">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dimension ref="A1:C22"/>
  <sheetViews>
    <sheetView workbookViewId="0">
      <selection activeCell="B8" sqref="B8"/>
    </sheetView>
  </sheetViews>
  <sheetFormatPr defaultColWidth="11" defaultRowHeight="12.75"/>
  <cols>
    <col min="1" max="1" width="28.1640625" style="2" bestFit="1" customWidth="1"/>
    <col min="2" max="2" width="17.83203125" style="2" bestFit="1" customWidth="1"/>
    <col min="3" max="3" width="11" style="2" bestFit="1" customWidth="1"/>
    <col min="4" max="4" width="13.1640625" style="2" bestFit="1" customWidth="1"/>
    <col min="5" max="5" width="10.83203125" style="2" bestFit="1" customWidth="1"/>
    <col min="6" max="6" width="13.5" style="2" bestFit="1" customWidth="1"/>
    <col min="7" max="8" width="14.5" style="2" bestFit="1" customWidth="1"/>
    <col min="9" max="9" width="17.83203125" style="2" bestFit="1" customWidth="1"/>
    <col min="10" max="10" width="11" style="2" bestFit="1" customWidth="1"/>
    <col min="11" max="11" width="9" style="2" bestFit="1" customWidth="1"/>
    <col min="12" max="12" width="10.83203125" style="2" bestFit="1" customWidth="1"/>
    <col min="13" max="13" width="12.5" style="2" bestFit="1" customWidth="1"/>
    <col min="14" max="14" width="11" style="2" bestFit="1" customWidth="1"/>
    <col min="15" max="15" width="8" style="2" bestFit="1" customWidth="1"/>
    <col min="16" max="17" width="12.5" style="2" bestFit="1" customWidth="1"/>
    <col min="18" max="18" width="24.1640625" style="2" bestFit="1" customWidth="1"/>
    <col min="19" max="19" width="12.5" style="2" bestFit="1" customWidth="1"/>
    <col min="20" max="20" width="16" style="2" bestFit="1" customWidth="1"/>
    <col min="21" max="21" width="9" style="2" bestFit="1" customWidth="1"/>
    <col min="22" max="22" width="10.83203125" style="2" bestFit="1" customWidth="1"/>
    <col min="23" max="24" width="13.5" style="2" bestFit="1" customWidth="1"/>
    <col min="25" max="25" width="15" style="2" bestFit="1" customWidth="1"/>
    <col min="26" max="16384" width="11" style="2"/>
  </cols>
  <sheetData>
    <row r="1" spans="1:3" ht="21">
      <c r="A1" s="41" t="s">
        <v>83</v>
      </c>
      <c r="B1" s="40" t="s">
        <v>164</v>
      </c>
    </row>
    <row r="2" spans="1:3" ht="18.75">
      <c r="B2" s="39" t="s">
        <v>173</v>
      </c>
    </row>
    <row r="5" spans="1:3" ht="15">
      <c r="B5" s="1" t="s">
        <v>149</v>
      </c>
    </row>
    <row r="6" spans="1:3" ht="15">
      <c r="A6" s="3" t="s">
        <v>51</v>
      </c>
      <c r="B6" s="1" t="s">
        <v>176</v>
      </c>
    </row>
    <row r="7" spans="1:3" ht="15">
      <c r="A7" s="3" t="s">
        <v>151</v>
      </c>
      <c r="B7" s="1" t="s">
        <v>177</v>
      </c>
    </row>
    <row r="10" spans="1:3" ht="23.25">
      <c r="A10" s="18" t="s">
        <v>160</v>
      </c>
    </row>
    <row r="11" spans="1:3" ht="15">
      <c r="A11" s="32" t="s">
        <v>84</v>
      </c>
      <c r="B11" s="17" t="s">
        <v>85</v>
      </c>
      <c r="C11" s="17" t="s">
        <v>86</v>
      </c>
    </row>
    <row r="12" spans="1:3" ht="15">
      <c r="A12" s="32">
        <v>44927</v>
      </c>
      <c r="B12" s="17" t="s">
        <v>57</v>
      </c>
      <c r="C12" s="17">
        <v>200</v>
      </c>
    </row>
    <row r="13" spans="1:3" ht="15">
      <c r="A13" s="32">
        <v>44928</v>
      </c>
      <c r="B13" s="17" t="s">
        <v>58</v>
      </c>
      <c r="C13" s="17">
        <v>20</v>
      </c>
    </row>
    <row r="14" spans="1:3" ht="15">
      <c r="A14" s="32">
        <v>44929</v>
      </c>
      <c r="B14" s="17" t="s">
        <v>59</v>
      </c>
      <c r="C14" s="17">
        <v>50</v>
      </c>
    </row>
    <row r="15" spans="1:3" ht="15">
      <c r="A15" s="32">
        <v>44930</v>
      </c>
      <c r="B15" s="17" t="s">
        <v>60</v>
      </c>
      <c r="C15" s="17">
        <v>20</v>
      </c>
    </row>
    <row r="16" spans="1:3" ht="15">
      <c r="A16" s="32">
        <v>44931</v>
      </c>
      <c r="B16" s="17" t="s">
        <v>61</v>
      </c>
      <c r="C16" s="17">
        <v>10</v>
      </c>
    </row>
    <row r="17" spans="1:3" ht="15">
      <c r="A17" s="32">
        <v>44932</v>
      </c>
      <c r="B17" s="17" t="s">
        <v>152</v>
      </c>
      <c r="C17" s="17">
        <v>150</v>
      </c>
    </row>
    <row r="18" spans="1:3" ht="15">
      <c r="A18" s="32">
        <v>44933</v>
      </c>
      <c r="B18" s="17" t="s">
        <v>153</v>
      </c>
      <c r="C18" s="17">
        <v>80</v>
      </c>
    </row>
    <row r="19" spans="1:3" ht="15">
      <c r="A19" s="32">
        <v>44934</v>
      </c>
      <c r="B19" s="17" t="s">
        <v>154</v>
      </c>
      <c r="C19" s="17">
        <v>20</v>
      </c>
    </row>
    <row r="20" spans="1:3" ht="15">
      <c r="A20" s="32">
        <v>44935</v>
      </c>
      <c r="B20" s="17" t="s">
        <v>155</v>
      </c>
      <c r="C20" s="17">
        <v>30</v>
      </c>
    </row>
    <row r="21" spans="1:3" ht="15">
      <c r="A21" s="32">
        <v>44936</v>
      </c>
      <c r="B21" s="17" t="s">
        <v>156</v>
      </c>
      <c r="C21" s="17">
        <v>20</v>
      </c>
    </row>
    <row r="22" spans="1:3" ht="15">
      <c r="B22" s="17" t="s">
        <v>157</v>
      </c>
      <c r="C22" s="25">
        <f>SUM(C12:C21)</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dimension ref="A1:N35"/>
  <sheetViews>
    <sheetView topLeftCell="A4" workbookViewId="0">
      <selection activeCell="E6" sqref="E6"/>
    </sheetView>
  </sheetViews>
  <sheetFormatPr defaultColWidth="11" defaultRowHeight="12.75"/>
  <cols>
    <col min="1" max="1" width="28.1640625" style="2" bestFit="1" customWidth="1"/>
    <col min="2" max="16384" width="11" style="2"/>
  </cols>
  <sheetData>
    <row r="1" spans="1:14" ht="21">
      <c r="A1" s="41" t="s">
        <v>96</v>
      </c>
      <c r="B1" s="40" t="s">
        <v>172</v>
      </c>
    </row>
    <row r="3" spans="1:14" ht="15">
      <c r="B3" s="1" t="s">
        <v>149</v>
      </c>
    </row>
    <row r="4" spans="1:14" ht="18.75">
      <c r="A4" s="42" t="s">
        <v>51</v>
      </c>
      <c r="B4" s="1" t="s">
        <v>175</v>
      </c>
    </row>
    <row r="5" spans="1:14" ht="18.75">
      <c r="A5" s="42" t="s">
        <v>151</v>
      </c>
      <c r="B5" s="1" t="s">
        <v>174</v>
      </c>
    </row>
    <row r="6" spans="1:14" ht="15">
      <c r="A6" s="3"/>
      <c r="B6" s="1"/>
    </row>
    <row r="8" spans="1:14" ht="23.25">
      <c r="A8" s="18" t="s">
        <v>160</v>
      </c>
      <c r="M8" s="18" t="s">
        <v>161</v>
      </c>
    </row>
    <row r="9" spans="1:14" ht="15">
      <c r="A9" s="26"/>
      <c r="B9" s="26" t="s">
        <v>87</v>
      </c>
      <c r="C9" s="26" t="s">
        <v>88</v>
      </c>
      <c r="D9" s="26" t="s">
        <v>89</v>
      </c>
      <c r="E9" s="26" t="s">
        <v>90</v>
      </c>
      <c r="F9" s="26" t="s">
        <v>91</v>
      </c>
      <c r="G9" s="26" t="s">
        <v>92</v>
      </c>
      <c r="H9" s="26" t="s">
        <v>93</v>
      </c>
      <c r="I9" s="26" t="s">
        <v>94</v>
      </c>
      <c r="J9" s="26" t="s">
        <v>95</v>
      </c>
      <c r="M9" s="19" t="s">
        <v>43</v>
      </c>
      <c r="N9" s="19" t="s">
        <v>97</v>
      </c>
    </row>
    <row r="10" spans="1:14" ht="15">
      <c r="A10" s="26" t="s">
        <v>87</v>
      </c>
      <c r="B10" s="25">
        <v>-1</v>
      </c>
      <c r="C10" s="25">
        <v>95</v>
      </c>
      <c r="D10" s="25">
        <v>-1</v>
      </c>
      <c r="E10" s="25">
        <v>185</v>
      </c>
      <c r="F10" s="25">
        <v>255</v>
      </c>
      <c r="G10" s="25">
        <v>305</v>
      </c>
      <c r="H10" s="25">
        <v>415</v>
      </c>
      <c r="I10" s="25">
        <v>480</v>
      </c>
      <c r="J10" s="25">
        <v>525</v>
      </c>
      <c r="M10" s="12">
        <v>10100</v>
      </c>
      <c r="N10" s="12" t="s">
        <v>87</v>
      </c>
    </row>
    <row r="11" spans="1:14" ht="15">
      <c r="A11" s="26" t="s">
        <v>88</v>
      </c>
      <c r="B11" s="25">
        <v>95</v>
      </c>
      <c r="C11" s="25">
        <v>-1</v>
      </c>
      <c r="D11" s="25">
        <v>-1</v>
      </c>
      <c r="E11" s="25">
        <v>90</v>
      </c>
      <c r="F11" s="25">
        <v>160</v>
      </c>
      <c r="G11" s="25">
        <v>210</v>
      </c>
      <c r="H11" s="25">
        <v>325</v>
      </c>
      <c r="I11" s="25">
        <v>390</v>
      </c>
      <c r="J11" s="25">
        <v>430</v>
      </c>
      <c r="M11" s="12">
        <v>10102</v>
      </c>
      <c r="N11" s="12" t="s">
        <v>88</v>
      </c>
    </row>
    <row r="12" spans="1:14" ht="15">
      <c r="A12" s="26" t="s">
        <v>89</v>
      </c>
      <c r="B12" s="25">
        <v>-1</v>
      </c>
      <c r="C12" s="25">
        <v>-1</v>
      </c>
      <c r="D12" s="25">
        <v>-1</v>
      </c>
      <c r="E12" s="25">
        <v>60</v>
      </c>
      <c r="F12" s="25">
        <v>130</v>
      </c>
      <c r="G12" s="25">
        <v>180</v>
      </c>
      <c r="H12" s="25">
        <v>295</v>
      </c>
      <c r="I12" s="25">
        <v>355</v>
      </c>
      <c r="J12" s="25">
        <v>400</v>
      </c>
      <c r="M12" s="12">
        <v>10104</v>
      </c>
      <c r="N12" s="12" t="s">
        <v>89</v>
      </c>
    </row>
    <row r="13" spans="1:14" ht="15">
      <c r="A13" s="26" t="s">
        <v>90</v>
      </c>
      <c r="B13" s="25">
        <v>185</v>
      </c>
      <c r="C13" s="25">
        <v>90</v>
      </c>
      <c r="D13" s="25">
        <v>60</v>
      </c>
      <c r="E13" s="25">
        <v>-1</v>
      </c>
      <c r="F13" s="25">
        <v>70</v>
      </c>
      <c r="G13" s="25">
        <v>120</v>
      </c>
      <c r="H13" s="25">
        <v>235</v>
      </c>
      <c r="I13" s="25">
        <v>300</v>
      </c>
      <c r="J13" s="25">
        <v>340</v>
      </c>
      <c r="M13" s="12">
        <v>10106</v>
      </c>
      <c r="N13" s="12" t="s">
        <v>90</v>
      </c>
    </row>
    <row r="14" spans="1:14" ht="15">
      <c r="A14" s="26" t="s">
        <v>91</v>
      </c>
      <c r="B14" s="25">
        <v>255</v>
      </c>
      <c r="C14" s="25">
        <v>160</v>
      </c>
      <c r="D14" s="25">
        <v>130</v>
      </c>
      <c r="E14" s="25">
        <v>70</v>
      </c>
      <c r="F14" s="25">
        <v>-1</v>
      </c>
      <c r="G14" s="25">
        <v>50</v>
      </c>
      <c r="H14" s="25">
        <v>165</v>
      </c>
      <c r="I14" s="25">
        <v>230</v>
      </c>
      <c r="J14" s="25">
        <v>270</v>
      </c>
      <c r="M14" s="12">
        <v>10108</v>
      </c>
      <c r="N14" s="12" t="s">
        <v>91</v>
      </c>
    </row>
    <row r="15" spans="1:14" ht="15">
      <c r="A15" s="26" t="s">
        <v>92</v>
      </c>
      <c r="B15" s="25">
        <v>305</v>
      </c>
      <c r="C15" s="25">
        <v>210</v>
      </c>
      <c r="D15" s="25">
        <v>180</v>
      </c>
      <c r="E15" s="25">
        <v>120</v>
      </c>
      <c r="F15" s="25">
        <v>50</v>
      </c>
      <c r="G15" s="25">
        <v>-1</v>
      </c>
      <c r="H15" s="25">
        <v>115</v>
      </c>
      <c r="I15" s="25">
        <v>180</v>
      </c>
      <c r="J15" s="25">
        <v>220</v>
      </c>
      <c r="M15" s="12">
        <v>10110</v>
      </c>
      <c r="N15" s="12" t="s">
        <v>92</v>
      </c>
    </row>
    <row r="16" spans="1:14" ht="15">
      <c r="A16" s="26" t="s">
        <v>93</v>
      </c>
      <c r="B16" s="25">
        <v>415</v>
      </c>
      <c r="C16" s="25">
        <v>325</v>
      </c>
      <c r="D16" s="25">
        <v>295</v>
      </c>
      <c r="E16" s="25">
        <v>235</v>
      </c>
      <c r="F16" s="25">
        <v>165</v>
      </c>
      <c r="G16" s="25">
        <v>115</v>
      </c>
      <c r="H16" s="25">
        <v>-1</v>
      </c>
      <c r="I16" s="25">
        <v>65</v>
      </c>
      <c r="J16" s="25">
        <v>105</v>
      </c>
      <c r="M16" s="12">
        <v>10112</v>
      </c>
      <c r="N16" s="12" t="s">
        <v>93</v>
      </c>
    </row>
    <row r="17" spans="1:14" ht="15">
      <c r="A17" s="26" t="s">
        <v>94</v>
      </c>
      <c r="B17" s="25">
        <v>480</v>
      </c>
      <c r="C17" s="25">
        <v>390</v>
      </c>
      <c r="D17" s="25">
        <v>355</v>
      </c>
      <c r="E17" s="25">
        <v>300</v>
      </c>
      <c r="F17" s="25">
        <v>230</v>
      </c>
      <c r="G17" s="25">
        <v>180</v>
      </c>
      <c r="H17" s="25">
        <v>65</v>
      </c>
      <c r="I17" s="25">
        <v>-1</v>
      </c>
      <c r="J17" s="25">
        <v>40</v>
      </c>
      <c r="M17" s="12">
        <v>10114</v>
      </c>
      <c r="N17" s="12" t="s">
        <v>94</v>
      </c>
    </row>
    <row r="18" spans="1:14" ht="15">
      <c r="A18" s="26" t="s">
        <v>95</v>
      </c>
      <c r="B18" s="25">
        <v>525</v>
      </c>
      <c r="C18" s="25">
        <v>430</v>
      </c>
      <c r="D18" s="25">
        <v>400</v>
      </c>
      <c r="E18" s="25">
        <v>340</v>
      </c>
      <c r="F18" s="25">
        <v>270</v>
      </c>
      <c r="G18" s="25">
        <v>220</v>
      </c>
      <c r="H18" s="25">
        <v>105</v>
      </c>
      <c r="I18" s="25">
        <v>40</v>
      </c>
      <c r="J18" s="25">
        <v>-1</v>
      </c>
      <c r="M18" s="13">
        <v>10116</v>
      </c>
      <c r="N18" s="13" t="s">
        <v>95</v>
      </c>
    </row>
    <row r="21" spans="1:14" ht="23.25">
      <c r="A21" s="18" t="s">
        <v>165</v>
      </c>
    </row>
    <row r="22" spans="1:14" ht="15">
      <c r="A22" s="14" t="s">
        <v>98</v>
      </c>
      <c r="B22" s="17" t="s">
        <v>99</v>
      </c>
      <c r="C22" s="16" t="s">
        <v>100</v>
      </c>
    </row>
    <row r="23" spans="1:14" ht="15">
      <c r="A23" s="7">
        <v>10100</v>
      </c>
      <c r="B23" s="12">
        <v>10102</v>
      </c>
      <c r="C23" s="43">
        <f>INDEX($A$9:J19,MATCH(VLOOKUP(A23,$M$10:$N$18,2),$A$9:$A$18,0),MATCH(VLOOKUP(B23,$M$10:$N$18,2),$A$9:$J$9,0))</f>
        <v>95</v>
      </c>
    </row>
    <row r="24" spans="1:14" ht="15">
      <c r="A24" s="7">
        <v>10100</v>
      </c>
      <c r="B24" s="12">
        <v>10104</v>
      </c>
      <c r="C24" s="43">
        <f>INDEX($A$9:J19,MATCH(VLOOKUP(A24,$M$10:$N$18,2),$A$9:$A$18,0),MATCH(VLOOKUP(B24,$M$10:$N$18,2),$A$9:$J$9,0))</f>
        <v>-1</v>
      </c>
    </row>
    <row r="25" spans="1:14" ht="15">
      <c r="A25" s="7">
        <v>10108</v>
      </c>
      <c r="B25" s="12">
        <v>10102</v>
      </c>
      <c r="C25" s="43">
        <f>INDEX($A$9:J19,MATCH(VLOOKUP(A25,$M$10:$N$18,2),$A$9:$A$18,0),MATCH(VLOOKUP(B25,$M$10:$N$18,2),$A$9:$J$9,0))</f>
        <v>160</v>
      </c>
    </row>
    <row r="26" spans="1:14" ht="15">
      <c r="A26" s="7">
        <v>10100</v>
      </c>
      <c r="B26" s="12">
        <v>10106</v>
      </c>
      <c r="C26" s="43">
        <f>INDEX($A$9:J20,MATCH(VLOOKUP(A26,$M$10:$N$18,2),$A$9:$A$18,0),MATCH(VLOOKUP(B26,$M$10:$N$18,2),$A$9:$J$9,0))</f>
        <v>185</v>
      </c>
    </row>
    <row r="27" spans="1:14" ht="15">
      <c r="A27" s="7">
        <v>10108</v>
      </c>
      <c r="B27" s="12">
        <v>10110</v>
      </c>
      <c r="C27" s="43">
        <f>INDEX($A$9:J21,MATCH(VLOOKUP(A27,$M$10:$N$18,2),$A$9:$A$18,0),MATCH(VLOOKUP(B27,$M$10:$N$18,2),$A$9:$J$9,0))</f>
        <v>50</v>
      </c>
    </row>
    <row r="28" spans="1:14" ht="15">
      <c r="A28" s="7">
        <v>10102</v>
      </c>
      <c r="B28" s="12">
        <v>10104</v>
      </c>
      <c r="C28" s="43">
        <f>INDEX($A$9:J22,MATCH(VLOOKUP(A28,$M$10:$N$18,2),$A$9:$A$18,0),MATCH(VLOOKUP(B28,$M$10:$N$18,2),$A$9:$J$9,0))</f>
        <v>-1</v>
      </c>
    </row>
    <row r="29" spans="1:14" ht="15">
      <c r="A29" s="7">
        <v>10106</v>
      </c>
      <c r="B29" s="12">
        <v>10108</v>
      </c>
      <c r="C29" s="43">
        <f>INDEX($A$9:J23,MATCH(VLOOKUP(A29,$M$10:$N$18,2),$A$9:$A$18,0),MATCH(VLOOKUP(B29,$M$10:$N$18,2),$A$9:$J$9,0))</f>
        <v>70</v>
      </c>
    </row>
    <row r="30" spans="1:14" ht="15">
      <c r="A30" s="7">
        <v>10102</v>
      </c>
      <c r="B30" s="12">
        <v>10106</v>
      </c>
      <c r="C30" s="43">
        <f>INDEX($A$9:J24,MATCH(VLOOKUP(A30,$M$10:$N$18,2),$A$9:$A$18,0),MATCH(VLOOKUP(B30,$M$10:$N$18,2),$A$9:$J$9,0))</f>
        <v>90</v>
      </c>
    </row>
    <row r="31" spans="1:14" ht="15">
      <c r="A31" s="7">
        <v>10110</v>
      </c>
      <c r="B31" s="12">
        <v>10114</v>
      </c>
      <c r="C31" s="43">
        <f>INDEX($A$9:J25,MATCH(VLOOKUP(A31,$M$10:$N$18,2),$A$9:$A$18,0),MATCH(VLOOKUP(B31,$M$10:$N$18,2),$A$9:$J$9,0))</f>
        <v>180</v>
      </c>
    </row>
    <row r="32" spans="1:14" ht="15">
      <c r="A32" s="7">
        <v>10104</v>
      </c>
      <c r="B32" s="12">
        <v>10106</v>
      </c>
      <c r="C32" s="43">
        <f>INDEX($A$9:J26,MATCH(VLOOKUP(A32,$M$10:$N$18,2),$A$9:$A$18,0),MATCH(VLOOKUP(B32,$M$10:$N$18,2),$A$9:$J$9,0))</f>
        <v>60</v>
      </c>
    </row>
    <row r="33" spans="1:3" ht="15">
      <c r="A33" s="7">
        <v>10110</v>
      </c>
      <c r="B33" s="12">
        <v>10112</v>
      </c>
      <c r="C33" s="43">
        <f>INDEX($A$9:J27,MATCH(VLOOKUP(A33,$M$10:$N$18,2),$A$9:$A$18,0),MATCH(VLOOKUP(B33,$M$10:$N$18,2),$A$9:$J$9,0))</f>
        <v>115</v>
      </c>
    </row>
    <row r="34" spans="1:3" ht="15">
      <c r="A34" s="7">
        <v>10100</v>
      </c>
      <c r="B34" s="12">
        <v>10114</v>
      </c>
      <c r="C34" s="43">
        <f>INDEX($A$9:J28,MATCH(VLOOKUP(A34,$M$10:$N$18,2),$A$9:$A$18,0),MATCH(VLOOKUP(B34,$M$10:$N$18,2),$A$9:$J$9,0))</f>
        <v>480</v>
      </c>
    </row>
    <row r="35" spans="1:3" ht="15">
      <c r="A35" s="9">
        <v>10112</v>
      </c>
      <c r="B35" s="13">
        <v>10116</v>
      </c>
      <c r="C35" s="43">
        <f>INDEX($A$9:J29,MATCH(VLOOKUP(A35,$M$10:$N$18,2),$A$9:$A$18,0),MATCH(VLOOKUP(B35,$M$10:$N$18,2),$A$9:$J$9,0))</f>
        <v>105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Windows User</cp:lastModifiedBy>
  <dcterms:created xsi:type="dcterms:W3CDTF">2015-02-10T17:33:11Z</dcterms:created>
  <dcterms:modified xsi:type="dcterms:W3CDTF">2023-12-10T12:41:28Z</dcterms:modified>
</cp:coreProperties>
</file>